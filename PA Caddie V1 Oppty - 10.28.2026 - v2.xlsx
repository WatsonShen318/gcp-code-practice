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codeName="ThisWorkbook"/>
  <mc:AlternateContent xmlns:mc="http://schemas.openxmlformats.org/markup-compatibility/2006">
    <mc:Choice Requires="x15">
      <x15ac:absPath xmlns:x15ac="http://schemas.microsoft.com/office/spreadsheetml/2010/11/ac" url="https://aetnao365.sharepoint.com/sites/UMA-UMSub-Team/Shared Documents/UM Sub-Team/30 Major Projects/230. PA Caddie/Sizing/"/>
    </mc:Choice>
  </mc:AlternateContent>
  <xr:revisionPtr revIDLastSave="0" documentId="8_{09DCE30C-5A51-4815-8F39-EFC19959B509}" xr6:coauthVersionLast="47" xr6:coauthVersionMax="47" xr10:uidLastSave="{00000000-0000-0000-0000-000000000000}"/>
  <bookViews>
    <workbookView xWindow="0" yWindow="800" windowWidth="51200" windowHeight="25320" firstSheet="1" activeTab="1" xr2:uid="{00000000-000D-0000-FFFF-FFFF00000000}"/>
  </bookViews>
  <sheets>
    <sheet name="Waterfall for 3 Criteria" sheetId="1" r:id="rId1"/>
    <sheet name="Consolidated Flow" sheetId="3" r:id="rId2"/>
    <sheet name="Wegovy PAC131011 -&gt;" sheetId="5" r:id="rId3"/>
    <sheet name="Work Instruction Index (WIP)" sheetId="4" r:id="rId4"/>
    <sheet name="Consolidated Process View (WIP " sheetId="2" r:id="rId5"/>
    <sheet name="WF 1" sheetId="6" r:id="rId6"/>
    <sheet name="Process 1" sheetId="7" r:id="rId7"/>
    <sheet name="Add'l Notes 1" sheetId="8" r:id="rId8"/>
    <sheet name="717-A -&gt;" sheetId="9" r:id="rId9"/>
    <sheet name="WF 2" sheetId="10" r:id="rId10"/>
    <sheet name="Process 2" sheetId="11" r:id="rId11"/>
    <sheet name="Add'l Notes 2" sheetId="12" r:id="rId12"/>
    <sheet name="IBRs -&gt;" sheetId="13" r:id="rId13"/>
    <sheet name="WF 3" sheetId="14" r:id="rId14"/>
    <sheet name="Process 3 WIP" sheetId="15" r:id="rId15"/>
    <sheet name="Process 3" sheetId="16" r:id="rId16"/>
    <sheet name="IBR Steps" sheetId="17" r:id="rId17"/>
    <sheet name="Add'l Notes 3" sheetId="18" r:id="rId18"/>
  </sheets>
  <definedNames>
    <definedName name="_xlnm._FilterDatabase" localSheetId="15" hidden="1">'Process 3'!$A$1:$P$34</definedName>
    <definedName name="_xlnm._FilterDatabase" localSheetId="14" hidden="1">'Process 3 WIP'!$A$1:$P$33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0" l="1"/>
  <c r="F20" i="10"/>
  <c r="H18" i="10"/>
  <c r="F18" i="10"/>
  <c r="I16" i="10"/>
  <c r="H14" i="10"/>
  <c r="F14" i="10"/>
  <c r="G13" i="10"/>
  <c r="E13" i="10"/>
  <c r="D13" i="10"/>
  <c r="D15" i="10" s="1"/>
  <c r="D17" i="10" s="1"/>
  <c r="D22" i="10" s="1"/>
  <c r="F22" i="10" s="1"/>
  <c r="H12" i="10"/>
  <c r="F12" i="10"/>
  <c r="H11" i="10"/>
  <c r="F11" i="10"/>
  <c r="I10" i="10"/>
  <c r="I9" i="10"/>
  <c r="I8" i="10"/>
  <c r="I7" i="10"/>
  <c r="H6" i="10"/>
  <c r="F6" i="10"/>
  <c r="F49" i="6"/>
  <c r="G49" i="6" s="1"/>
  <c r="E49" i="6"/>
  <c r="K47" i="6"/>
  <c r="L47" i="6" s="1"/>
  <c r="J47" i="6"/>
  <c r="I47" i="6"/>
  <c r="H47" i="6"/>
  <c r="F47" i="6"/>
  <c r="G47" i="6" s="1"/>
  <c r="E47" i="6"/>
  <c r="K45" i="6"/>
  <c r="J45" i="6"/>
  <c r="I45" i="6"/>
  <c r="L45" i="6" s="1"/>
  <c r="H45" i="6"/>
  <c r="F45" i="6"/>
  <c r="G45" i="6" s="1"/>
  <c r="E45" i="6"/>
  <c r="C47" i="6" s="1"/>
  <c r="K43" i="6"/>
  <c r="J43" i="6"/>
  <c r="I43" i="6"/>
  <c r="L43" i="6" s="1"/>
  <c r="H43" i="6"/>
  <c r="F43" i="6"/>
  <c r="G43" i="6" s="1"/>
  <c r="E43" i="6"/>
  <c r="K41" i="6"/>
  <c r="J41" i="6"/>
  <c r="L38" i="6"/>
  <c r="G38" i="6"/>
  <c r="L36" i="6"/>
  <c r="G36" i="6"/>
  <c r="L35" i="6"/>
  <c r="L17" i="1" s="1"/>
  <c r="G35" i="6"/>
  <c r="L34" i="6"/>
  <c r="G34" i="6"/>
  <c r="C34" i="6"/>
  <c r="L33" i="6"/>
  <c r="G33" i="6"/>
  <c r="I32" i="6"/>
  <c r="H32" i="6"/>
  <c r="F32" i="6"/>
  <c r="E32" i="6"/>
  <c r="L31" i="6"/>
  <c r="G31" i="6"/>
  <c r="C31" i="6"/>
  <c r="L30" i="6"/>
  <c r="G30" i="6"/>
  <c r="L29" i="6"/>
  <c r="G29" i="6"/>
  <c r="L28" i="6"/>
  <c r="G28" i="6"/>
  <c r="L27" i="6"/>
  <c r="G27" i="6"/>
  <c r="L26" i="6"/>
  <c r="G26" i="6"/>
  <c r="L25" i="6"/>
  <c r="G25" i="6"/>
  <c r="L24" i="6"/>
  <c r="G24" i="6"/>
  <c r="L23" i="6"/>
  <c r="G23" i="6"/>
  <c r="K22" i="6"/>
  <c r="J22" i="6"/>
  <c r="I22" i="6"/>
  <c r="L22" i="6" s="1"/>
  <c r="H22" i="6"/>
  <c r="G22" i="6"/>
  <c r="F22" i="6"/>
  <c r="E22" i="6"/>
  <c r="C30" i="6" s="1"/>
  <c r="L21" i="6"/>
  <c r="G21" i="6"/>
  <c r="L20" i="6"/>
  <c r="G20" i="6"/>
  <c r="L19" i="6"/>
  <c r="G19" i="6"/>
  <c r="L18" i="6"/>
  <c r="G18" i="6"/>
  <c r="L17" i="6"/>
  <c r="G17" i="6"/>
  <c r="L16" i="6"/>
  <c r="G16" i="6"/>
  <c r="L15" i="6"/>
  <c r="G15" i="6"/>
  <c r="Y18" i="1"/>
  <c r="W18" i="1"/>
  <c r="R18" i="1"/>
  <c r="P18" i="1"/>
  <c r="H18" i="1"/>
  <c r="I18" i="1" s="1"/>
  <c r="G18" i="1"/>
  <c r="Y17" i="1"/>
  <c r="W17" i="1"/>
  <c r="R17" i="1"/>
  <c r="P17" i="1"/>
  <c r="J17" i="1"/>
  <c r="K17" i="1" s="1"/>
  <c r="H17" i="1"/>
  <c r="I17" i="1" s="1"/>
  <c r="G17" i="1"/>
  <c r="Y16" i="1"/>
  <c r="W16" i="1"/>
  <c r="R16" i="1"/>
  <c r="P16" i="1"/>
  <c r="L16" i="1"/>
  <c r="J16" i="1"/>
  <c r="K16" i="1" s="1"/>
  <c r="H16" i="1"/>
  <c r="I16" i="1" s="1"/>
  <c r="G16" i="1"/>
  <c r="Y15" i="1"/>
  <c r="W15" i="1"/>
  <c r="R15" i="1"/>
  <c r="P15" i="1"/>
  <c r="J15" i="1"/>
  <c r="K15" i="1" s="1"/>
  <c r="H15" i="1"/>
  <c r="I15" i="1" s="1"/>
  <c r="G15" i="1"/>
  <c r="R14" i="1"/>
  <c r="L14" i="1"/>
  <c r="J14" i="1"/>
  <c r="K14" i="1" s="1"/>
  <c r="H14" i="1"/>
  <c r="I14" i="1" s="1"/>
  <c r="G14" i="1"/>
  <c r="Y13" i="1"/>
  <c r="W13" i="1"/>
  <c r="R13" i="1"/>
  <c r="P13" i="1"/>
  <c r="L13" i="1"/>
  <c r="J13" i="1"/>
  <c r="K13" i="1" s="1"/>
  <c r="H13" i="1"/>
  <c r="I13" i="1" s="1"/>
  <c r="G13" i="1"/>
  <c r="G15" i="10" l="1"/>
  <c r="H13" i="10"/>
  <c r="E15" i="10"/>
  <c r="F13" i="10"/>
  <c r="I41" i="6"/>
  <c r="L41" i="6" s="1"/>
  <c r="L32" i="6"/>
  <c r="L15" i="1" s="1"/>
  <c r="I37" i="6"/>
  <c r="L37" i="6" s="1"/>
  <c r="L18" i="1" s="1"/>
  <c r="H41" i="6"/>
  <c r="N35" i="6"/>
  <c r="H37" i="6"/>
  <c r="J18" i="1" s="1"/>
  <c r="K18" i="1" s="1"/>
  <c r="G32" i="6"/>
  <c r="F41" i="6"/>
  <c r="F37" i="6"/>
  <c r="C32" i="6"/>
  <c r="E41" i="6"/>
  <c r="C43" i="6" s="1"/>
  <c r="E37" i="6"/>
  <c r="C33" i="6"/>
  <c r="H15" i="10" l="1"/>
  <c r="G17" i="10"/>
  <c r="F15" i="10"/>
  <c r="E17" i="10"/>
  <c r="F17" i="10" s="1"/>
  <c r="G41" i="6"/>
  <c r="G37" i="6"/>
  <c r="H17" i="10" l="1"/>
  <c r="G22" i="10"/>
  <c r="H22" i="10" s="1"/>
</calcChain>
</file>

<file path=xl/sharedStrings.xml><?xml version="1.0" encoding="utf-8"?>
<sst xmlns="http://schemas.openxmlformats.org/spreadsheetml/2006/main" count="1806" uniqueCount="949">
  <si>
    <t>Notes: 
1. Based on Oct 2025 - Sept 2026, ePAs only, Original Review, Commercial and Specialty LOBs
2. Excludes FEP, Data Entry and Medicaid LoBs, Non ePAs, Appeals
3. Focus only on 3 PACs - PAC131011, PAC20883, PAC33295 for PA Caddie Pilot launch</t>
  </si>
  <si>
    <t>Q: how much is this from Loop1 on ops cost</t>
  </si>
  <si>
    <t>Oct 2025 - Sept 2026</t>
  </si>
  <si>
    <t>Wegovy (PAC131011)</t>
  </si>
  <si>
    <t>IBRs (PAC20883)</t>
  </si>
  <si>
    <t>Formulary Exeptions (PAC33295)</t>
  </si>
  <si>
    <t>Case Volume</t>
  </si>
  <si>
    <t>Approved Cases</t>
  </si>
  <si>
    <t>% Approval Rate</t>
  </si>
  <si>
    <t>Cost</t>
  </si>
  <si>
    <t>Cost per PA</t>
  </si>
  <si>
    <t>AHT</t>
  </si>
  <si>
    <t>Avg Tasks per PA 
(excludes Touches)</t>
  </si>
  <si>
    <t xml:space="preserve">AHT </t>
  </si>
  <si>
    <t>All PA Cases</t>
  </si>
  <si>
    <t>ePAs Auto Approved</t>
  </si>
  <si>
    <t>-</t>
  </si>
  <si>
    <t>ePAs Human Reviewed</t>
  </si>
  <si>
    <t>ePA Scored Approval</t>
  </si>
  <si>
    <t>ePA Scored Denial</t>
  </si>
  <si>
    <t>ePA Unscored</t>
  </si>
  <si>
    <r>
      <rPr>
        <b/>
        <sz val="12"/>
        <color theme="1"/>
        <rFont val="Aptos Narrow"/>
        <scheme val="minor"/>
      </rPr>
      <t>Consolidated flow - which steps are shared and which are PAC-specific</t>
    </r>
    <r>
      <rPr>
        <sz val="12"/>
        <color theme="1"/>
        <rFont val="Aptos Narrow"/>
        <family val="2"/>
        <scheme val="minor"/>
      </rPr>
      <t xml:space="preserve">
- Built from Process 1 (Wegovy PAC131011, 23 steps), Process 2 (717-A, ACF PAC 33295, 13 steps) and the IBR Steps tab (PAC20883, 13 steps)
- 32 steps in the order you would work a case. 'Description' says exactly what is done and what each PAC does differently
- 'Data / fields' lists what the step reads (field names are the ones we have seen in CAS / EPA tables)
- Build Overall: get the case, verify the drug, claim and reject, PA history, Auto Note, dates, close and finish
- Same step, flipped rule: the reject check and the criteria-form check. Wegovy and 717-A need a PA reject and a form; IBR needs a non-PA reject and NO form
- PAC-specific: Wegovy = answers, chart notes, weight / BMI math, override; 717-A = formulary alternatives, Q2 review, partial macro, post-approval claim; IBR = exceptions and plan checks, 60-day IBR count, denial reason, California routing
</t>
    </r>
  </si>
  <si>
    <t>#</t>
  </si>
  <si>
    <t>Phase</t>
  </si>
  <si>
    <t>Step (plain)</t>
  </si>
  <si>
    <t>Description (what exactly happens)</t>
  </si>
  <si>
    <t>717-A (ACF PAC 33295)</t>
  </si>
  <si>
    <t>IBR (PAC20883)</t>
  </si>
  <si>
    <t>Same across all 3?</t>
  </si>
  <si>
    <t>Source steps (P1 / P2 / P3)</t>
  </si>
  <si>
    <t>Data / fields we think it uses</t>
  </si>
  <si>
    <t>Build note</t>
  </si>
  <si>
    <t>Loop 1 or 2?</t>
  </si>
  <si>
    <t>Automation Potential</t>
  </si>
  <si>
    <t>1</t>
  </si>
  <si>
    <t>Get the case</t>
  </si>
  <si>
    <t>Get the PA</t>
  </si>
  <si>
    <t>1. Pick up the next case to work
2. All PACs: Smart Routing 'Get Next' opens the PA in CAS with a PASTA message (the fallout reason and the actions to do)
3. A tech can also pull a PA by hand from the queue; then there is no PASTA message and the tech does every check
4. If Smart Routing is down, use the Downtime WI
5. IBR: the request can also arrive as a phone call, fax, ePA Loop 1, ePA Loop 2 or Unassigned</t>
  </si>
  <si>
    <t>Yes - Smart Routing Get Next or manual pull</t>
  </si>
  <si>
    <t>Yes</t>
  </si>
  <si>
    <t>Yes - queue, phone, fax or ePA loop</t>
  </si>
  <si>
    <t>P1 1 / P2 1 / IBR 7</t>
  </si>
  <si>
    <t>PA number (CAS_PA_NUMBER); channel the request came in on; PASTA message text</t>
  </si>
  <si>
    <t>Shared. In V1 the case comes from the ePA feed.</t>
  </si>
  <si>
    <t>Yes - Smart Routing integration</t>
  </si>
  <si>
    <t>2</t>
  </si>
  <si>
    <t>Read the fallout message and the Messages / Guidelines / Red Message tabs</t>
  </si>
  <si>
    <t>1. Read the case briefing, then do what it says
2. All PACs: read the PASTA message, then the Messages, Guidelines, Work Instructions and Red Message tabs for this member's client
3. Wegovy: some clients are worked by a dedicated team (e.g. Wellmark, FLBL, HealthFirst). For those, IM the team the PA number and stop - do not work the case.
4. IBR: the Red Message tab also shows whether the client sends IBRs and any client-specific rules (for example, no 60-day limit).</t>
  </si>
  <si>
    <t>Yes - PASTA message plus tabs; dedicated-team client = IM the team and stop</t>
  </si>
  <si>
    <t>Not listed in Process 2</t>
  </si>
  <si>
    <t>Yes - Red Message tab for client rules and IBR opt-out</t>
  </si>
  <si>
    <t>Mostly</t>
  </si>
  <si>
    <t>P1 2 / - / IBR 2</t>
  </si>
  <si>
    <t>Client / PAG (CAS_PAGCODE); PASTA text; Red Message and Guidelines text for the client</t>
  </si>
  <si>
    <t>Shared 'case briefing' panel. Client flags differ per PAC.</t>
  </si>
  <si>
    <r>
      <t xml:space="preserve">Yes - Super PASTA integration, surface </t>
    </r>
    <r>
      <rPr>
        <i/>
        <sz val="11"/>
        <rFont val="Aptos Narrow"/>
      </rPr>
      <t>relevant</t>
    </r>
    <r>
      <rPr>
        <sz val="11"/>
        <rFont val="Aptos Narrow"/>
      </rPr>
      <t xml:space="preserve"> context only
Q: is SR not client-aware?  Those cases should be going to that team directly</t>
    </r>
  </si>
  <si>
    <t>3</t>
  </si>
  <si>
    <t>Verify the drug name</t>
  </si>
  <si>
    <t>1. Make sure the drug on the PA is the right CAS drug, so the right criteria and macros load
2. All PACs: re-select the drug from the drop-down even if it is pre-filled, then check strength
3.  brand vs generic and form against the claim. If the only option is 'Other, please specify', move on
4. Why: the ePA vendor and CAS can name the same drug differently (vendor-to-admin mismatch)
5. IBR: only needs a drug and prescriber entered; 'Other' is allowed for both.</t>
  </si>
  <si>
    <t>Yes - re-select so macros load; check strength / brand / form</t>
  </si>
  <si>
    <t>Yes - fixes vendor-to-admin drug mismatch</t>
  </si>
  <si>
    <t>Light - enter drug and prescriber; 'Other' allowed</t>
  </si>
  <si>
    <t>P1 3 / P2 2 / IBR 7</t>
  </si>
  <si>
    <t>Claim GPI (NCPDP_GPI) and NDC (NCPDP_NDC, left-pad to 11 digits); CAS drug lists (ASAP.DRUGLIST, ASAP.PAGDRUGLIST) matched at GPI 14 / 12 / 10; prescribed drug name</t>
  </si>
  <si>
    <t>Shared (our CAS drug-name resolver).</t>
  </si>
  <si>
    <t>Mixed - easy for Wegovy, hard for others.  Will need to load full options from CAS</t>
  </si>
  <si>
    <t>4</t>
  </si>
  <si>
    <t>Make sure the rejected claim is attached</t>
  </si>
  <si>
    <t>1. Make sure the rejected claim that started this PA is attached and is the right one.
2. Wegovy: check the Claims tab. If you attach one yourself, click Cancel on the next pop-up. On an ePA with no rejected claim, do NOT tick 'Rejected Claim Not Available'.
3. 717-A: not listed separately; the claim comes with the test claim
4. IBR: attach a rejected claim from the last 7 days. If there is none, or it is older than 7 days, DO tick 'Rejected Claim Not Available' (opposite of the Wegovy ePA rule).</t>
  </si>
  <si>
    <t>Yes - attach the right claim, do not tick 'Rejected Claim Not Available' on ePA</t>
  </si>
  <si>
    <t>Not listed (comes with the test claim)</t>
  </si>
  <si>
    <t>Yes - claim from last 7 days, else tick 'Rejected Claim Not Available'</t>
  </si>
  <si>
    <t>P1 4 / P2 3 / IBR 7</t>
  </si>
  <si>
    <t>Claim number and sequence (ASAP.MEMBERCLAIM CLAIMNUMBER, SEQUENCENUMBER); claim date; reject code on that claim</t>
  </si>
  <si>
    <t>Shared claim panel; the 7-day rule is IBR only.</t>
  </si>
  <si>
    <t>Yes - look up recent claims, match on drug and select.  Fallout if n_matches != 1</t>
  </si>
  <si>
    <t>5</t>
  </si>
  <si>
    <t>Is it right?</t>
  </si>
  <si>
    <t>Run the test / mock claim and read the reject</t>
  </si>
  <si>
    <t>1. Run a test (mock) claim and read what it rejects with
2. Wegovy: run for today, +30 and +60 days (never +90). A PA-required reject (75, or 70 with a PA phone number) means continue. If the claim pays, check for overrides in the PA History step. 3. 'Refill too soon' (79): re-run at the Next Available Fill Date to see the true reject. Other codes: use the rejection WI
3. 717-A: same, and check RMT if more information is needed
4. IBR: same test claim, but a non-PA reject is what you want</t>
  </si>
  <si>
    <t>Yes - today, +30, +60, never +90</t>
  </si>
  <si>
    <t>Yes - run initial test claim, check RMT</t>
  </si>
  <si>
    <t>Yes - test claim, read reject type</t>
  </si>
  <si>
    <t>P1 5 / P2 3 / IBR 1</t>
  </si>
  <si>
    <t>Reject code(s), reject message and reject phone (NCPDP_REJECTCODES, NCPDP_REJECTMSGS, NCPDP_REJECTPHONES on the ePA intake row); CAS mock claim results (ASAP.MOCK_CLAIM_RESULTS, initial mock).</t>
  </si>
  <si>
    <t>Shared. Mock-claim dates differ by PAC.</t>
  </si>
  <si>
    <t>Yes - for epa just referenced mock results of automated check</t>
  </si>
  <si>
    <t>6</t>
  </si>
  <si>
    <t>Decide if the reject fits this PAC</t>
  </si>
  <si>
    <t>1. Decide whether this reject fits the PAC being worked
2. Wegovy / 717-A: needs a PA reject. Our pre-check treats 70, 75 and 76 as PA-required; any other code is routed per that reject. If the claim is not a PA reject, follow the non-PA path
3. IBR: needs a non-PA benefit reject (not covered, non-formulary, copay, mail, quantity, age, out of network, step, etc.). A reject that carries a PA phone number is NOT an IBR - stop
4. Brand Strategy Formulary clients reject 606 on generics: that is an IBR. Reject 70 with a '+' in the text: check the Red Message tab for a formulary exception first</t>
  </si>
  <si>
    <t>Needs a PA reject (70/75/76, Commercial PA phone); paid = check overrides</t>
  </si>
  <si>
    <t>Needs a PA reject; no PA = non-PA path</t>
  </si>
  <si>
    <t>Needs a NON-PA reject; a PA phone number = stop</t>
  </si>
  <si>
    <t>No</t>
  </si>
  <si>
    <t>Reject code and reject phone from the previous step.</t>
  </si>
  <si>
    <t>Same reject, opposite pass rule. One check with a 'wanted outcome' setting per PAC.</t>
  </si>
  <si>
    <t>Yes - simple enough logic for most cases.  workflow needs to react to this, may need to abort PA
Q: does the fill date matter?  Sometimes it'll reject for PA but not until later I think?</t>
  </si>
  <si>
    <t>7</t>
  </si>
  <si>
    <t>Check PA history</t>
  </si>
  <si>
    <t>1. Look at what has already happened on this member and drug
2. Wegovy: an active approval or an override the system loaded
3. Auto-approved by System Services: complete normally (duplicate override, void neither).
4. VTPA or plan-sponsor override in AS400: re-run the mock after it expires, complete, do not abort
5. Duplicate approval / denial / pending: apply the duplicate rules and close with ePA Abort
6. 717-A: 2 denials within 60 days = route to Appeals
7. Active appeal pending = abort. Prior appeal completed and still inside the next-level appeal window = abort and send to Appeals
8. On second or later touches also read prior reviewer notes, fax history and prescriber responses.
9. IBR: count IBRs on file for the same drug in the last 60 days (two = send to Appeals, see IBR Steps tab step 4)</t>
  </si>
  <si>
    <t>Yes - active approval, system override, duplicates, VTPA / plan-sponsor override</t>
  </si>
  <si>
    <t>Yes - 2 denials in 60 days = Appeals; pending appeal = abort</t>
  </si>
  <si>
    <t>Yes - count IBRs in 60 days</t>
  </si>
  <si>
    <t>P1 6 / P2 5 / IBR 4</t>
  </si>
  <si>
    <t>PA history for the member and drug: PA type, date, outcome, appeal status, notes (ASAP.PAMAIN / ASAP.PACASE); AS400 override look-up.</t>
  </si>
  <si>
    <t>Shared data pull; rules per PAC. You left Wegovy blank in P1 - I say Yes.</t>
  </si>
  <si>
    <t>Yes - but seemingly complicated</t>
  </si>
  <si>
    <t>8</t>
  </si>
  <si>
    <t>Pre-checks: exceptions, client allows it, no other path</t>
  </si>
  <si>
    <t>IBR only - three checks before an IBR can be issued.
(a) Exception: does the member have an exception available for this reject? If yes, send to Exceptions instead (reject 70 on a call = create an ePA starter; fax / Loop 1 / Loop 2 each go to their Exceptions queue).
(b) Plan allows IBR: check RMT. Suppressed = do the IBR but give the prescriber the appeals information. Not allowed = close it out by channel (Misdirected for fax, refer to plan for a call, Remove from ePA for Loop 1, Abort for Loop 2).
(c) Client is not Aetna, Medicare Part D or Medicaid, and not the Drug Exclusion Formulary Exception client.
Wegovy: only the dedicated-team client check (step 2).</t>
  </si>
  <si>
    <t>Dedicated-team client only</t>
  </si>
  <si>
    <t>Yes - exception path, RMT (plan allows IBR), Seniors</t>
  </si>
  <si>
    <t>P1 2 / - / IBR 2, 5, 6</t>
  </si>
  <si>
    <t>Client / PAG; RMT setting 'IBR allowed / suppressed / not allowed'; Red Message exception flag; line of business.</t>
  </si>
  <si>
    <t>IBR-specific lookups. Strong automation candidate.</t>
  </si>
  <si>
    <t xml:space="preserve">this is loop 1 </t>
  </si>
  <si>
    <t>Maybe - not in the V1, mostly targets the loop 1 touches</t>
  </si>
  <si>
    <t>9</t>
  </si>
  <si>
    <t>Confirm the criteria form</t>
  </si>
  <si>
    <t>Check that the criteria form (PAC) on the PA is the right one for this drug and reject.
Wegovy: it should be PAC131011 'Weight Loss Wegovy PA with Limit'. To check: Change PA Type / Drug Class, click the rejected claim so reject code, phone and GPI fill in, Search, pick the PAC. Right form: Cancel, then Save. Wrong form: change it in the same case and re-enter the drug. Several forms fit: call Vetline.
717-A: compare reject code, reject phone, GPI and drug class from the mock or attached claim to the selected form.
IBR: reversed - confirm NO criteria form exists. If one does, forward to the Seniors; it is a PA, not an IBR.</t>
  </si>
  <si>
    <t>Yes - PAC131011 Weight Loss Wegovy with Limit; change in same case if wrong</t>
  </si>
  <si>
    <t>Yes - verify the ACF form</t>
  </si>
  <si>
    <t>Flipped - confirm NO form exists (form exists = Seniors)</t>
  </si>
  <si>
    <t>P1 7 / P2 4 / IBR 3</t>
  </si>
  <si>
    <t>PAC, PAG and question set on the PA (CAS_PACCODE, CAS_PAGCODE, CAS_QUESTIONSET_ID); question set valid for that PAG + PAC on the PA date (ASAP.QSETXREF); drug on the PAC drug list (ASAP.PAGDRUGLIST) or reject phone configured for the PAG + PAC (ASAP.PAG_PAC_PHONE)</t>
  </si>
  <si>
    <t>Shared QSet and drug lookup. IBR uses it as an exit.</t>
  </si>
  <si>
    <t>CAS Admin has configured
check if there is any logic involved</t>
  </si>
  <si>
    <t>10</t>
  </si>
  <si>
    <t>Check ICD-10 and that the drug name matches what we approve</t>
  </si>
  <si>
    <t>Two checks on the PA before reviewing answers.
(1) Diagnosis: read the ICD-10 code sent with the request. It supports the diagnosis / comorbidity answers in the question set
(2) Drug name: 'Requested Drug' is what the prescriber originally asked for and never changes. 'Drug Name' is what we are approving and can change. They must make sense together - for example, if the prescriber agrees in the question set to switch drugs, update Drug Name and re-run the mock claim.
Wegovy only. Not listed in our  717-A or IBR sources</t>
  </si>
  <si>
    <t>Not listed</t>
  </si>
  <si>
    <t>P1 8 / - / -</t>
  </si>
  <si>
    <t>ICD-10 on the request (RX_DIAGNOSIS on the ePA intake row); Requested Drug (PRESCRIBEDDRUG) and Drug Name (APPROVEDDRUG) on ASAP.PAMAIN. In live data APPROVEDDRUG is empty until after approval.</t>
  </si>
  <si>
    <t>Wegovy-specific; ICD-10 is on the intake row.</t>
  </si>
  <si>
    <t>11</t>
  </si>
  <si>
    <t>Pull up formulary alternatives</t>
  </si>
  <si>
    <t>717-A only. Look up in Guidelines the formulary alternatives required for this ACF PAC and keep that list in view while reviewing the question set and the documents. Questions Q1 and Q2 depend on it.</t>
  </si>
  <si>
    <t>Yes - from Guidelines</t>
  </si>
  <si>
    <t>- / P2 6 / -</t>
  </si>
  <si>
    <t>Formulary alternatives list for the client / PAC (text in the Guidelines tab today).</t>
  </si>
  <si>
    <t>717-A-specific.</t>
  </si>
  <si>
    <t>Try making a GCP table or parse from the Qset guidelines</t>
  </si>
  <si>
    <t>12</t>
  </si>
  <si>
    <t>Check the answers</t>
  </si>
  <si>
    <t>Work the question-set answers</t>
  </si>
  <si>
    <t>Work through the question set and check each answer against the data.
1. Wegovy: accept attestation questions as answered. Verify: age in CAS; maintenance dose and continuation in AS400 paid claims; quantity and day supply in AS400; drug / formulation. Quantity above the plan allowance, or any 'No' on a program / diet / maintenance-dose attestation = forward to RPh
2. 717-A: scored approval = verify Q2 (see Q2 step). Scored denial = find the question driving the denial: Q1 prior history and alternatives, Q2 alternatives evidence, Q3 / Q4 diagnosis or other clinical evidence; update the response if the evidence supports it, RFI if more is needed 
3. Unscored questions: follow the criteria-specific workflow.
4. IBR: no clinical review</t>
  </si>
  <si>
    <t>Yes - age in CAS; maintenance dose / continuation, qty and days supply in AS400; accept attestations</t>
  </si>
  <si>
    <t>Yes - scored approval, scored denial, unscored items</t>
  </si>
  <si>
    <t>No clinical review</t>
  </si>
  <si>
    <t>P1 9 / P2 7, 8, 9 / -</t>
  </si>
  <si>
    <t>Question-set answers; member age (date of birth); paid claim history (dose, quantity, days supply); quantity and days supply on the request (RX_QUANTITY, RX_DAYSSUPPLY). ASAP.MEMBERCLAIM has no quantity or days-supply columns, so those come from the MyClaims Claim Details API (claim number + sequence).</t>
  </si>
  <si>
    <t>PAC-specific.</t>
  </si>
  <si>
    <t>13</t>
  </si>
  <si>
    <t>Read attachments / chart notes</t>
  </si>
  <si>
    <t>Open the attachments and read the chart notes for every question marked 'ACTION REQUIRED'.
1. Wegovy: look for baseline and current weight with dates, baseline BMI, comorbid condition, and CVD / GDMT or MASH evidence when that pathway applies. Also look for anything that contradicts the answer, and confirm the documents are for the right patient (wrong patient = email the split-fax template to CRUSrTech@CVSHealth.com)
2. Documentation missing = RFI, or forward to RPh as the WI says
3. 717-A: only when Q2 needs more reasoning or documentation</t>
  </si>
  <si>
    <t>Yes - weights with dates, baseline BMI, comorbidity, CVD / MASH evidence; wrong patient = split-fax email</t>
  </si>
  <si>
    <t>Yes - when Q2 needs more reasoning or documentation</t>
  </si>
  <si>
    <t>P1 10 / P2 9 / -</t>
  </si>
  <si>
    <t>Attached documents (fax / ePA attachments): weights and dates, BMI, height, comorbidity, CVD / GDMT / MASH evidence, patient name on documents.</t>
  </si>
  <si>
    <t>Reviewer reads; Caddie lists what to find.</t>
  </si>
  <si>
    <t>Suhas Take a look at this one</t>
  </si>
  <si>
    <t>14</t>
  </si>
  <si>
    <t>Calculate weight loss % and BMI</t>
  </si>
  <si>
    <t>Wegovy only. Work out weight loss % and BMI change from the chart-note values.
Weight loss % = (weight before - weight after) / weight before x 100.
BMI = weight (lb) x 703 / height (in) squared, then the same % change.
Do not round. Dates need at least month and year.
Meets: at least 5% loss (or BMI reduction / maintained loss for continuation). Under 5%: complete denial</t>
  </si>
  <si>
    <t>Yes - 5% loss or BMI rule; no rounding</t>
  </si>
  <si>
    <t>P1 11 / - / -</t>
  </si>
  <si>
    <t>Weight before and after (lb) with dates; height (in); baseline BMI. Entered by the reviewer from the chart notes.</t>
  </si>
  <si>
    <t>Wegovy calculator.</t>
  </si>
  <si>
    <t>15</t>
  </si>
  <si>
    <t>Check the formulary-alternative answer (Q2)</t>
  </si>
  <si>
    <t>717-A only. Check the answer to Q2 (formulary alternatives).
1. Confirm the required alternatives and whether the prescriber gave enough clinical reasoning or documentation. Free-text answers count if they sufficiently support the prescriber's intent; read clinical notes and history if more evidence is needed
2. Q2 supported = approval. More information needed = RFI. Q2 not supported = denial, based on the specific case</t>
  </si>
  <si>
    <t>Yes - supported / need info / not supported</t>
  </si>
  <si>
    <t>- / P2 9 / -</t>
  </si>
  <si>
    <t>Q2 answer (free text); formulary alternatives list; clinical notes / history.</t>
  </si>
  <si>
    <t>16</t>
  </si>
  <si>
    <t>Decide</t>
  </si>
  <si>
    <t>Decide the outcome</t>
  </si>
  <si>
    <t>Choose one outcome.
1. Wegovy: meets = approve. Does not meet with complete clinical information = Tech / Nurse pend to clinician and RPh denies. Missing information = RFI. Anything the WI says to forward = RPh. Red Messages tab needing a medical director = pend to clinician
2. 717-A: approve, RFI or denial from the Q results
3. IBR: always a no-PA-required (non-clinical) denial</t>
  </si>
  <si>
    <t>Approve / pend to clinician / RFI / deny</t>
  </si>
  <si>
    <t>Approve / RFI / deny</t>
  </si>
  <si>
    <t>Always a no-PA-required denial</t>
  </si>
  <si>
    <t>P1 12 / P2 7-9 / IBR 10</t>
  </si>
  <si>
    <t>Results from the previous steps; auto-score result on the ePA submission row (AUTO_SCORE_RESULT, 'A' = scored for approval).</t>
  </si>
  <si>
    <t>Caddie recommends, reviewer decides.</t>
  </si>
  <si>
    <t>17</t>
  </si>
  <si>
    <t>Pick the denial / resolution reason</t>
  </si>
  <si>
    <t>1. IBR (and any denial). On the Denial tab pick the resolution reason that matches the reject type
2. There are about 25 reject types, each with its own letter wording. California plans use the 'CA IBR-' version of the same reason
3. Special cases: Plan Exclusion Non-FDA Approved / Other are HMSA only. Exceeds Claim Amount only if a senior advises. Quantity limit: not if a post-limit criteria form exists
4. Wegovy / 717-A: only when denying (clinical wording)</t>
  </si>
  <si>
    <t>Only when denying</t>
  </si>
  <si>
    <t>Yes - from reject type (about 25 types; CA plans use 'CA IBR-' versions)</t>
  </si>
  <si>
    <t>- / - / IBR 10</t>
  </si>
  <si>
    <t>Reject type (from reject code / message) mapped to a resolution reason; client state (California or not).</t>
  </si>
  <si>
    <t>IBR is a lookup from reject type.</t>
  </si>
  <si>
    <t>18</t>
  </si>
  <si>
    <t>Missing info: send one RFI</t>
  </si>
  <si>
    <t>1. Missing information: send ONE request for information (RFI) that lists every missing item, using an RFI close option and a template under 2,000 characters
2. A second RFI on an ePA clears the ePA criteria, so one is all you get. RPh can use the combined RFI + soft denial options.
3. Wegovy and 717-A only</t>
  </si>
  <si>
    <t>Yes - all missing items on one RFI, under 2000 characters</t>
  </si>
  <si>
    <t>Yes - when more info needed</t>
  </si>
  <si>
    <t>P1 S1 / P2 9 / -</t>
  </si>
  <si>
    <t>List of missing items; RFI template text.</t>
  </si>
  <si>
    <t>V1.5: Caddie drafts the RFI.</t>
  </si>
  <si>
    <t>19</t>
  </si>
  <si>
    <t>Document</t>
  </si>
  <si>
    <t>Write the PA note (Auto Note)</t>
  </si>
  <si>
    <t>Write the PA note.
1. Wegovy: use Auto Note after the drug name and criteria edits are final. The note has (1) outcome, (2) the ENTIRE approval message, (3) what evidence was needed, where it was found, what was found, dates and the calculation. Running Auto Note again erases the earlier Auto Note text
2. 717-A: document the review rationale; the note changes with approval, denial or RFI.
IBR: notes per the CAS Notes WI (086494)</t>
  </si>
  <si>
    <t>Yes - outcome, full approval message, evidence and math</t>
  </si>
  <si>
    <t>Yes - standard note, per CAS Notes WI</t>
  </si>
  <si>
    <t>P1 13 / P2 10 / IBR 13</t>
  </si>
  <si>
    <t>Outcome; approval message; evidence list with source and dates; calculation; reject.</t>
  </si>
  <si>
    <t>One engine, three template sets. Best first build.</t>
  </si>
  <si>
    <t>20</t>
  </si>
  <si>
    <t>Check / set the timestamps</t>
  </si>
  <si>
    <t>Make sure the dates are right.
Wegovy: check the Completed Date auto-filled. If not, copy the Received date (RRD) into the Completed date (CD), except on an RFI.
IBR: Received and Completed cannot be the same on a call. Call = 'Set to now' for both (also Verbal Notification if completed on the call; required for NY clients). Fax = the fax timestamp for both. ePA Loop 1 = the 'Edit Date' from transaction details for both. Loop 2 = see the ePA Process WI.</t>
  </si>
  <si>
    <t>Check auto-filled Completed Date</t>
  </si>
  <si>
    <t>Check auto-fill</t>
  </si>
  <si>
    <t>Yes - rule depends on channel (call, fax, ePA loop)</t>
  </si>
  <si>
    <t>P1 14 / - / IBR 8</t>
  </si>
  <si>
    <t>Received date, Completed date, channel, ePA 'Edit Date'.</t>
  </si>
  <si>
    <t>Small shared module.</t>
  </si>
  <si>
    <t>21</t>
  </si>
  <si>
    <t>Close</t>
  </si>
  <si>
    <t>Pick close option and approval dates</t>
  </si>
  <si>
    <t>Pick the close option and set the approval dates.
1. Wegovy: 'Approved - ePA' (or the pend / RFI / denial option from the decision). Copy approval duration and override instructions with the QSet Copy Dialog. Choose the Resolution Reason and set approval dates from the duration. Check Start and End dates. On a denial, first check System Services did not load an override and void it in AS400.
2. 717-A: select the close option for approval, denial or RFI and fill the other required fields.
3. IBR: close option 'Initial Benefit Review'. California plans: 'Fwd to RPh CA CoC Review' (pharmacist checks continuity of care)</t>
  </si>
  <si>
    <t>Yes - 'Approved - ePA' or pend / RFI / denial; copy duration with QSet Copy Dialog</t>
  </si>
  <si>
    <t>Yes - close option activities</t>
  </si>
  <si>
    <t>'Initial Benefit Review', or 'Fwd to RPh CA CoC Review' for California</t>
  </si>
  <si>
    <t>P1 15 / P2 11 / IBR 9</t>
  </si>
  <si>
    <t>Close option; approval duration and override instructions from the question set; start and end dates; client state.</t>
  </si>
  <si>
    <t>Same screen. Caddie suggests; reviewer clicks in CAS in V1.</t>
  </si>
  <si>
    <t>22</t>
  </si>
  <si>
    <t>Concluded By and Member Denial note</t>
  </si>
  <si>
    <t>Pick who concluded the case and finish the dialog.
1. All PACs: choose your title in Concluded By (Tech, Pharmacist, Rep, LPN...) and click OK
2. IBR: also type one single space in the Member Denial note box</t>
  </si>
  <si>
    <t>Concluded By</t>
  </si>
  <si>
    <t>Concluded By plus one space in Member Denial note</t>
  </si>
  <si>
    <t>P1 15 / P2 11 / IBR 11, 12</t>
  </si>
  <si>
    <t>Reviewer role.</t>
  </si>
  <si>
    <t>23</t>
  </si>
  <si>
    <t>Finish the PA (and Smart Routing Call Notes)</t>
  </si>
  <si>
    <t>Click Finish to close the PA. In Smart Routing, also click Finish under Call Notes, otherwise the next Get Next gives an error</t>
  </si>
  <si>
    <t>P1 18 / P2 11 / IBR 13</t>
  </si>
  <si>
    <t>None (a CAS / Smart Routing action).</t>
  </si>
  <si>
    <t>CAS action; Caddie only reminds.</t>
  </si>
  <si>
    <t>24</t>
  </si>
  <si>
    <t>Override</t>
  </si>
  <si>
    <t>See where CAS goes after OK</t>
  </si>
  <si>
    <t>1. Wegovy. After OK, CAS goes one of three ways: (A) back to Member Center, (B) Override screen, (C) Mock Claim failure screen
2. A = the override loaded automatically and the mock claim passed; nothing more to do. Per the WI no pop-up appears, and you should NOT check the override in AS400 or run a test claim</t>
  </si>
  <si>
    <t>Three outcomes: back to Member Center, Override screen, Mock Claim failure</t>
  </si>
  <si>
    <t>P1 16, 17A / - / -</t>
  </si>
  <si>
    <t>None (CAS screen the reviewer lands on).</t>
  </si>
  <si>
    <t>Info only. If back to Member Center, do nothing and do not run a test claim.</t>
  </si>
  <si>
    <t>25</t>
  </si>
  <si>
    <t>Place the override / macro by hand</t>
  </si>
  <si>
    <t>Load the override by hand (Wegovy, when CAS shows the Override screen).
1. In CAS: pick the client-type profile (for example Agent H, Reason OD, Ignore PA P, Over Sp Rx N, Drug status F, Clinical/Admin C). Route of Administration Y, Expiration Message Y. GPI / NDC from the approval message or guidelines, daily dose + S, QVT if required. Click Create once.
2. In AS400: PA number = your initials + date + sequence
3. 717-A: check the partial macro flag (this row is empty in Process 2)</t>
  </si>
  <si>
    <t>Yes if CAS does not auto-load (partial macro via OFU 2.0 v2; full macro 1150 = approval term only)</t>
  </si>
  <si>
    <t>Yes - check partial macro flag (open in Process 2)</t>
  </si>
  <si>
    <t>No, except CA CoC approvals (RPh)</t>
  </si>
  <si>
    <t>P1 17B / P2 12 / -</t>
  </si>
  <si>
    <t>Approval message; GPI / NDC; daily dose; QVT; client-type profile; PA number for AS400.</t>
  </si>
  <si>
    <t>Wegovy and 717-A share the override panel. Riskiest build.</t>
  </si>
  <si>
    <t>26</t>
  </si>
  <si>
    <t>Fix a mock claim failure</t>
  </si>
  <si>
    <t>1. Wegovy. CAS shows a Mock Claim failure screen. Re-run the test claim in AS400 for today and 60 days out, check the override GPI against the guidelines, then Resolve (with a note) or mark Not Resolved
2. Common fixes: dose / frequency mismatch, wrong pharmacy ID, day supply not allowed, PLQE needed, refill too soon (re-run at the next fill date)</t>
  </si>
  <si>
    <t>Yes - re-run claim today and +60, check GPI, Resolve or Not Resolved</t>
  </si>
  <si>
    <t>P1 17C / - / -</t>
  </si>
  <si>
    <t>Mock claim failure reason; override GPI; guideline GPI.</t>
  </si>
  <si>
    <t>Later; needs AS400.</t>
  </si>
  <si>
    <t>27</t>
  </si>
  <si>
    <t>After approval</t>
  </si>
  <si>
    <t>Run a test claim to confirm it pays</t>
  </si>
  <si>
    <t>1. After an approval, run another test claim to confirm the claim pays.
717-A: claim pays = complete processing. Claim does not pay = follow CMS-PRD1-088300 and troubleshoot
2. Wegovy: do NOT run one when CAS went back to Member Center on its own; only on the failure screen</t>
  </si>
  <si>
    <t>Only on the failure screen</t>
  </si>
  <si>
    <t>Yes - PRAAS API note; if it does not pay, troubleshoot</t>
  </si>
  <si>
    <t>P1 17A / P2 13 / -</t>
  </si>
  <si>
    <t>Test claim result (paid / reject code).</t>
  </si>
  <si>
    <t>717-A first. PRAAS is QA2-only today.</t>
  </si>
  <si>
    <t>28</t>
  </si>
  <si>
    <t>Side paths</t>
  </si>
  <si>
    <t>Drug switch (Zepbound to Wegovy)</t>
  </si>
  <si>
    <t>Wegovy. A Zepbound request switched to Wegovy: on a call, deny Zepbound, send to RPh and open a new Wegovy PA. On fax / ePA, deny Zepbound, send to RPh, no new PA. Update drug name and NDC before closing</t>
  </si>
  <si>
    <t>Yes - call: deny, RPh, new PA; fax / ePA: deny, RPh</t>
  </si>
  <si>
    <t>P1 S2 / - / -</t>
  </si>
  <si>
    <t>Original drug, new drug, channel.</t>
  </si>
  <si>
    <t>Edge path, not V1.</t>
  </si>
  <si>
    <t>29</t>
  </si>
  <si>
    <t>Duplicate / appeals abort</t>
  </si>
  <si>
    <t>1. Stop and send to Appeals, or abort, instead of working the case
2. Wegovy: duplicate approval / denial / pending = close with ePA Abort
3. 717-A: 2 denials in 60 days or an appeal window still open = Appeals; active appeal = abort
4. IBR: two IBRs in 60 days = Appeals. By channel: call = tell the caller about appeals and add a 'No PA Required' member note; fax = re-fax to Appeals; Loop 1 = re-fax the latest letter and remove from ePA workflow; Loop 2 = re-fax the denial letter and abort.</t>
  </si>
  <si>
    <t>ePA abort on duplicate approval / denial / pending</t>
  </si>
  <si>
    <t>Appeals if 2 denials in 60 days</t>
  </si>
  <si>
    <t>Appeals if 2 IBRs in 60 days</t>
  </si>
  <si>
    <t>PA history and appeal status; channel.</t>
  </si>
  <si>
    <t>Same idea, per-channel closing steps.</t>
  </si>
  <si>
    <t>30</t>
  </si>
  <si>
    <t>Move to Exceptions, Seniors or California RPh</t>
  </si>
  <si>
    <t>IBR. Not an IBR after all, or needs special handling
1. Form exists = Seniors. Exception available = Exceptions queue (or ePA starter for reject 70 on a call)
2. California client = 'Fwd to RPh CA CoC Review'; the pharmacist checks continuity of care (paid claim in the last 120 days, no change in dose or quantity) and either approves with 'CA CoC Approve' plus override or denies with the CA IBR reason.</t>
  </si>
  <si>
    <t>Yes - Exceptions queue / ePA starter; Seniors if form exists; RPh for CA CoC</t>
  </si>
  <si>
    <t>- / - / IBR 3, 5, 9</t>
  </si>
  <si>
    <t>Client state / plan; claim history for the last 120 days (CA).</t>
  </si>
  <si>
    <t>IBR-specific.</t>
  </si>
  <si>
    <t>31</t>
  </si>
  <si>
    <t>Worked-in-error recovery</t>
  </si>
  <si>
    <t>1. IBR. An IBR was sent on a drug that needs clinical review. Pull the letters (Senior Rep), check for an open appeal (email Appeals.Commercial; do not abort the appeal), open a new PA on the correct criteria with the IBR documents attached, make two outbound calls (prescriber office, then member), approve or send to RPh, then abort the IBR</t>
  </si>
  <si>
    <t>Yes - pull letters, new PA, 2 outbound calls, abort IBR</t>
  </si>
  <si>
    <t>- / - / IBR WI</t>
  </si>
  <si>
    <t>IBR PA; appeal status; contact numbers.</t>
  </si>
  <si>
    <t>IBR-specific; not V1.</t>
  </si>
  <si>
    <t>32</t>
  </si>
  <si>
    <t>Problem tickets and feedback</t>
  </si>
  <si>
    <t>1. Smart Routing errors go to the Smart Routing team. Wrong PASTA messages go on the PASTA Feedback Form</t>
  </si>
  <si>
    <t>Smart Routing errors, PASTA Feedback Form</t>
  </si>
  <si>
    <t>P1 S3 / - / -</t>
  </si>
  <si>
    <t>None.</t>
  </si>
  <si>
    <t>Process, not case work.</t>
  </si>
  <si>
    <t>WI No</t>
  </si>
  <si>
    <t>Main Link (original)</t>
  </si>
  <si>
    <t>Description (original)</t>
  </si>
  <si>
    <t>Step (original draft)</t>
  </si>
  <si>
    <t>Title on thesource</t>
  </si>
  <si>
    <t>Last modified (thesource)</t>
  </si>
  <si>
    <t>Used by</t>
  </si>
  <si>
    <t>What it covers</t>
  </si>
  <si>
    <t>Where it fits in the Wegovy flow</t>
  </si>
  <si>
    <t>AS400?</t>
  </si>
  <si>
    <t>PA Caddie relevance</t>
  </si>
  <si>
    <t>https://thesource.cvshealth.com/nuxeo/thesource/#!/view?docid=0ff3e9b0-fb4d-4360-9978-0b04d5dea665</t>
  </si>
  <si>
    <t>ePA Process (Loop 2) - Commercial Specialty</t>
  </si>
  <si>
    <t>ePA Process (Loop 2) – Commercial Specialty</t>
  </si>
  <si>
    <t>2026-08-12</t>
  </si>
  <si>
    <t>Tech/Nurse/RPh</t>
  </si>
  <si>
    <t>Main ePA Loop 2 review flow: take the case, verify drug, claim, history, criteria, answers and documents, then close.</t>
  </si>
  <si>
    <t>Whole flow (steps 1-18)</t>
  </si>
  <si>
    <t>Yes (override look-up, void override on denial)</t>
  </si>
  <si>
    <t>Core</t>
  </si>
  <si>
    <t>1.a</t>
  </si>
  <si>
    <t>https://thesource.cvshealth.com/nuxeo/thesource/#!/view?docid=c650ce09-e07a-4894-bb68-8acb99e539a7</t>
  </si>
  <si>
    <t>Downtime Procedure for ePA Loop 2 - Commercial Specialty</t>
  </si>
  <si>
    <t>Downtime Procedure for ePA Loop 2 – Commercial Specialty</t>
  </si>
  <si>
    <t>2026-08-19</t>
  </si>
  <si>
    <t>Tech</t>
  </si>
  <si>
    <t>Same review when Smart Routing is down; adds how to open ePA queues and read the fallout reason.</t>
  </si>
  <si>
    <t>Step 1 (only when tool is down)</t>
  </si>
  <si>
    <t>Conditional</t>
  </si>
  <si>
    <t>1.b</t>
  </si>
  <si>
    <t>https://thesource.cvshealth.com/nuxeo/thesource/#!/view?docid=998b127b-ba26-4f54-959a-9a90311577a8</t>
  </si>
  <si>
    <t>Creating an ePA starter via CoverMyMeds – Commercial Specialty</t>
  </si>
  <si>
    <t>2026-06-15</t>
  </si>
  <si>
    <t>Start an ePA through CoverMyMeds when a provider calls.</t>
  </si>
  <si>
    <t>Not in the standard ePA flow</t>
  </si>
  <si>
    <t>1.c</t>
  </si>
  <si>
    <t>https://thesource.cvshealth.com/nuxeo/thesource/#!/view?docid=f409aff0-e6da-4289-b885-3f90bfa06f7e</t>
  </si>
  <si>
    <t>Clinical Operations - Artificial Intelligence (AI) Contextualization 2.0</t>
  </si>
  <si>
    <t>2026-09-30</t>
  </si>
  <si>
    <t>AI summary and question validation in Autonomize (ePA only, certain PACs).</t>
  </si>
  <si>
    <t>Steps 9-10 (if the case has an AI link)</t>
  </si>
  <si>
    <t>Not typical for PAC131011</t>
  </si>
  <si>
    <t>1.d</t>
  </si>
  <si>
    <t>https://thesource.cvshealth.com/nuxeo/thesource/#!/view?docid=2dd6f8ad-d1a1-4707-81b5-c64ee818fa6a</t>
  </si>
  <si>
    <t>Clinical Operations – PASTA/Smart Routing</t>
  </si>
  <si>
    <t>Run a Test Claim in CAS &amp; Validate a PA is Needed</t>
  </si>
  <si>
    <t>Clinical Operations - PASTA/Smart Routing</t>
  </si>
  <si>
    <t>2026-07-08</t>
  </si>
  <si>
    <t>How Get Next works, PASTA message meaning, error codes, feedback and support ticket.</t>
  </si>
  <si>
    <t>Steps 1-2, 18</t>
  </si>
  <si>
    <t>1.e</t>
  </si>
  <si>
    <t>https://thesource.cvshealth.com/nuxeo/thesource/#!/view?docid=c55b5ef6-ca30-401a-bdb9-df8b47b1ca56</t>
  </si>
  <si>
    <t>Attaching Claims to PAs in CAS- Commercial Specialty</t>
  </si>
  <si>
    <t>Attach a Rejected Claim</t>
  </si>
  <si>
    <t>2026-06-05</t>
  </si>
  <si>
    <t>How to attach the right rejected claim and which rejection codes qualify.</t>
  </si>
  <si>
    <t>Step 4</t>
  </si>
  <si>
    <t>1.f</t>
  </si>
  <si>
    <t>https://thesource.cvshealth.com/nuxeo/thesource/#!/view?docid=fb639e99-4bb0-4917-b19f-a5c14b370ea8</t>
  </si>
  <si>
    <t>Opening a New PA in CAS - Commercial Specialty</t>
  </si>
  <si>
    <t>Opening a New PA in CAS – Commercial Specialty</t>
  </si>
  <si>
    <t>2026-10-07</t>
  </si>
  <si>
    <t>How to tell if a PA is needed, run a mock claim, open a new PA, and finish.</t>
  </si>
  <si>
    <t>Steps 5-6 (and new-PA path)</t>
  </si>
  <si>
    <t>Optional</t>
  </si>
  <si>
    <t>1.g</t>
  </si>
  <si>
    <t>https://thesource.cvshealth.com/nuxeo/thesource/#!/view?docid=360069c5-15a5-4173-8fa1-efffd3c4c70e</t>
  </si>
  <si>
    <t>Viewing and Utilizing PA History in CAS – Commercial Specialty</t>
  </si>
  <si>
    <t>Verify PA History</t>
  </si>
  <si>
    <t>2026-06-10</t>
  </si>
  <si>
    <t>What each PA History tab shows.</t>
  </si>
  <si>
    <t>Steps 2, 6, 10</t>
  </si>
  <si>
    <t>1.h</t>
  </si>
  <si>
    <t>https://thesource.cvshealth.com/nuxeo/thesource/#!/view?docid=b434c5a9-9527-497d-be6f-d9f05eead6dc</t>
  </si>
  <si>
    <t>Communications Tool Resource and Quick Guide – Commercial Specialty</t>
  </si>
  <si>
    <t>If handled by dedicated team, IM the team the PA # and do not work the case</t>
  </si>
  <si>
    <t>All</t>
  </si>
  <si>
    <t>Quick list of phone numbers, fax numbers, Teams tags and contact etiquette.</t>
  </si>
  <si>
    <t>Step 2 (dedicated team contact)</t>
  </si>
  <si>
    <t>Reference</t>
  </si>
  <si>
    <t>1.i</t>
  </si>
  <si>
    <t>https://thesource.cvshealth.com/nuxeo/thesource/#!/view?docid=a309f785-475f-450a-b9b5-7f46d4a03bcd</t>
  </si>
  <si>
    <t>RFI (Request for Information) - Commercial Specialty</t>
  </si>
  <si>
    <t>1. If closing a duplicate ePA, put in your notes that the ePA is being aborted due to it being a duplicate case and reference the valid PA number
2. Criteria is incomplete or needs to be clarified
3. Documentation is not attached or incomplete</t>
  </si>
  <si>
    <t>2026-06-03</t>
  </si>
  <si>
    <t>Tech/Nurse</t>
  </si>
  <si>
    <t>How to send a Request for Information to the provider and the templates.</t>
  </si>
  <si>
    <t>Side path S1</t>
  </si>
  <si>
    <t>1.j</t>
  </si>
  <si>
    <t>https://thesource.cvshealth.com/nuxeo/thesource/#!/view?docid=345bc3d3-ede6-45e5-a3ef-52ff4f3d8062</t>
  </si>
  <si>
    <t>Clinical Operations - Auto Note Tool</t>
  </si>
  <si>
    <t>If closing a duplicate ePA, put in your notes that the ePA is being aborted due to it being a duplicate case and reference the valid PA number.</t>
  </si>
  <si>
    <t>How to build the PA note with the Auto Note tool.</t>
  </si>
  <si>
    <t>Step 13</t>
  </si>
  <si>
    <t>1.k</t>
  </si>
  <si>
    <t>https://thesource.cvshealth.com/nuxeo/thesource/#!/view?docid=c27b47b5-380d-489f-9113-00d8696980b3</t>
  </si>
  <si>
    <t>Adding a PA Note or Member Note in CAS (Techs) - Commercial Specialty</t>
  </si>
  <si>
    <t>2026-07-17</t>
  </si>
  <si>
    <t>What goes in a PA note, note templates, and member-note types.</t>
  </si>
  <si>
    <t>1.l</t>
  </si>
  <si>
    <t>https://thesource.cvshealth.com/nuxeo/thesource/#!/view?docid=279c9fce-4f64-495f-8fa0-05f869d7f7b3</t>
  </si>
  <si>
    <t>Rejection Codes &amp; Determining if PA Review Needed - Commercial Specialty</t>
  </si>
  <si>
    <t>ePA Duplicate Approval PAG/PAC/Drug, Fails for other reasons (Non- PA required), Use available resources to troubleshoot why mock claim does not pay</t>
  </si>
  <si>
    <t>How to read mock-claim reject codes and decide if Commercial Specialty reviews the PA.</t>
  </si>
  <si>
    <t>Step 5</t>
  </si>
  <si>
    <t>1.m</t>
  </si>
  <si>
    <t>https://thesource.cvshealth.com/nuxeo/thesource/#!/view?docid=e3cbfb14-8856-40cf-a8ab-3aafd9b91f1b</t>
  </si>
  <si>
    <t>Internal Reporting for HIPAA Violations - Commercial Specialty</t>
  </si>
  <si>
    <t>Verify All Required Documentation is Provided and Accurate, Incorrect patient</t>
  </si>
  <si>
    <t>Reporting wrong-patient documents or other privacy problems.</t>
  </si>
  <si>
    <t>Step 10 (wrong patient attachment)</t>
  </si>
  <si>
    <t>1.n</t>
  </si>
  <si>
    <t>Tech: Close Options tab to select the appropriate close option, Meets guidelines, Enter a PA Note. Depending on role</t>
  </si>
  <si>
    <t>Same thesource document as 1.k (duplicate row).</t>
  </si>
  <si>
    <t>1.o</t>
  </si>
  <si>
    <t>https://thesource.cvshealth.com/nuxeo/thesource/#!/view?docid=5acb68cd-7534-4022-b1ef-369938da08e4</t>
  </si>
  <si>
    <t>PA and Member Notes for Nurses - Commercial Specialty</t>
  </si>
  <si>
    <t>Nurse: Close Options tab to select the appropriate close option, Meets guidelines, Enter a PA Note. Depending on role</t>
  </si>
  <si>
    <t>PA and Member Notes for Nurses- Commercial Specialty</t>
  </si>
  <si>
    <t>2026-04-10</t>
  </si>
  <si>
    <t>Nurse</t>
  </si>
  <si>
    <t>Note-writing rules for nurses.</t>
  </si>
  <si>
    <t>Step 13 (nurse path)</t>
  </si>
  <si>
    <t>1.p</t>
  </si>
  <si>
    <t>https://thesource.cvshealth.com/nuxeo/thesource/#!/view?docid=c939caac-adf9-421b-9c13-f981a3c98103</t>
  </si>
  <si>
    <t>PA and Member Notes for Clinicians - Commercial Specialty</t>
  </si>
  <si>
    <t>Rph: Close Options tab to select the appropriate close option, Meets guidelines, Enter a PA Note. Depending on role</t>
  </si>
  <si>
    <t>RPh/Clinician</t>
  </si>
  <si>
    <t>Note-writing rules and Auto Note outcome types for clinicians.</t>
  </si>
  <si>
    <t>Step 13 (RPh path)</t>
  </si>
  <si>
    <t>1.q</t>
  </si>
  <si>
    <t>https://thesource.cvshealth.com/nuxeo/thesource/#!/view?docid=29d4b8b8-11f1-4494-ae15-f6b177584971</t>
  </si>
  <si>
    <t>Clinician Prior Authorization Review Process (CAS) - Commercial Specialty</t>
  </si>
  <si>
    <t xml:space="preserve">Red Messages tab Indicates required final review by medical director, Click on Close Options tab and select close option Pend to Clinician.
Clinicians: Refer to </t>
  </si>
  <si>
    <t>2026-09-23</t>
  </si>
  <si>
    <t>How clinicians approve, deny, send for information, pend to a medical director, and handle QC returns.</t>
  </si>
  <si>
    <t>Step 12 (RPh path)</t>
  </si>
  <si>
    <t>Yes (override)</t>
  </si>
  <si>
    <t>1.r</t>
  </si>
  <si>
    <t>https://thesource.cvshealth.com/nuxeo/thesource/#!/view?docid=d73888ba-137f-42f2-897f-467115389632</t>
  </si>
  <si>
    <t>Loading Manual Overrides and Viewing Comments - Commercial Specialty</t>
  </si>
  <si>
    <t>Override screen populates</t>
  </si>
  <si>
    <t>How to enter an override in CAS and in RxClaim/AS400, field by field.</t>
  </si>
  <si>
    <t>Step 17B</t>
  </si>
  <si>
    <t>1.s</t>
  </si>
  <si>
    <t>https://thesource.cvshealth.com/nuxeo/thesource/#!/view?docid=e687dd6f-fd0d-4c64-a442-8eb39e85f500</t>
  </si>
  <si>
    <t>Troubleshooting Mock Claim Failure Rejections – Commercial Specialty</t>
  </si>
  <si>
    <t>Mock Claim failure screen populates</t>
  </si>
  <si>
    <t>What to do when the post-approval mock claim fails.</t>
  </si>
  <si>
    <t>Step 17C</t>
  </si>
  <si>
    <t>1.t</t>
  </si>
  <si>
    <t>https://thesource.cvshealth.com/nuxeo/thesource/#!/view?docid=e68acd9f-bacd-4be0-966c-f35309ba0db6</t>
  </si>
  <si>
    <t>RFI Lack of Information Autoclosure (RPh only) – Commercial Specialty</t>
  </si>
  <si>
    <t>RFI Soft Denials (RPh only), There are now close options which combine both RFI and denial setup</t>
  </si>
  <si>
    <t>2026-05-06</t>
  </si>
  <si>
    <t>RPh</t>
  </si>
  <si>
    <t>Combined RFI + soft denial close options for lack of information.</t>
  </si>
  <si>
    <t>Side path S1 (RPh)</t>
  </si>
  <si>
    <t>https://thesource.cvshealth.com/nuxeo/thesource/#!/view?docid=90a426f3-1140-4210-ad38-e14e31823c2b</t>
  </si>
  <si>
    <t>Commercial PA – Weight Loss Wegovy PA with Limit Criteria</t>
  </si>
  <si>
    <t>Tech/RPh</t>
  </si>
  <si>
    <t>Question-by-question checks for criteria PAC131011 Weight Loss Wegovy PA with Limit.</t>
  </si>
  <si>
    <t>Steps 7, 9-11</t>
  </si>
  <si>
    <t>Yes (paid claims, quantity)</t>
  </si>
  <si>
    <t>https://thesource.cvshealth.com/nuxeo/thesource/#!/view?docid=45e7ff5a-f1c8-43db-a67c-f057316e1ec0</t>
  </si>
  <si>
    <t>Commercial PA - Weight Loss Management Job Aid</t>
  </si>
  <si>
    <t>Commercial PA -  Weight Loss Management Job Aid</t>
  </si>
  <si>
    <t>Rules for age, maintenance dose, weight loss, BMI, comorbidity, OSA and dosing on weight-loss criteria, with the calculations.</t>
  </si>
  <si>
    <t>Steps 9-11</t>
  </si>
  <si>
    <t>https://thesource.cvshealth.com/nuxeo/thesource/#!/view?docid=b90c0882-e4fd-4ec5-9cba-1f0d7e71cc1d</t>
  </si>
  <si>
    <t>Commercial PA - Zepbound Non-Formulary Prior Authorization Process</t>
  </si>
  <si>
    <t>Commercial PA -  Zepbound Non-Formulary Prior Authorization Process</t>
  </si>
  <si>
    <t>Zepbound non-formulary process; says what to do when the provider switches to Wegovy.</t>
  </si>
  <si>
    <t>Side path S2</t>
  </si>
  <si>
    <t>Applies to which criteria</t>
  </si>
  <si>
    <t>Step</t>
  </si>
  <si>
    <t>What happens (plain language)</t>
  </si>
  <si>
    <t>Decision / branch</t>
  </si>
  <si>
    <t>System</t>
  </si>
  <si>
    <t>AS400 used for</t>
  </si>
  <si>
    <t>Role</t>
  </si>
  <si>
    <t>Source WI</t>
  </si>
  <si>
    <t>Workshop observation (Ops Reviewer and US 1-1)</t>
  </si>
  <si>
    <t>Wegovy, PAC131011</t>
  </si>
  <si>
    <t>717-A, PACXYZABC</t>
  </si>
  <si>
    <t>IBRs, PACDEFGHI</t>
  </si>
  <si>
    <t>KC Example -&gt;&gt;</t>
  </si>
  <si>
    <t>1. Get the case</t>
  </si>
  <si>
    <t>Get the PA. Click Get Next in Smart Routing; the PA opens in CAS with the PASTA message (fallout reason + actions to do). A tech can also pull a PA by hand from the queue</t>
  </si>
  <si>
    <t>Manual pull: no PASTA message, tech does all validation. Smart Routing down: use the Downtime WI</t>
  </si>
  <si>
    <t>Smart Routing; CAS</t>
  </si>
  <si>
    <t>1, 1.d, 1.a</t>
  </si>
  <si>
    <t>Wegovy</t>
  </si>
  <si>
    <t>717-A</t>
  </si>
  <si>
    <t>IBR</t>
  </si>
  <si>
    <t>Only include steps in the happy path (ePA &amp; Loop2).          Detail of all branches (unhappy path steps) are in Process 3 sheet</t>
  </si>
  <si>
    <t>Check No PA Required</t>
  </si>
  <si>
    <t>Review the rejection or test claim messaging to ensure that the drug does not require a PA.</t>
  </si>
  <si>
    <t>CAS</t>
  </si>
  <si>
    <t>Non-PA Benefit Reject Types: https://thesource.cvshealth.com/nuxeo/thesource/#!/view?docid=aa12cac0-21e7-4b9b-bbec-281ab997d694</t>
  </si>
  <si>
    <t>Check Red Message tab for additional information regarding Client and rejection(s).</t>
  </si>
  <si>
    <t>CAS - Red Message Tab</t>
  </si>
  <si>
    <t>Check no applicable criteria/form exists</t>
  </si>
  <si>
    <t>Check CAS to ensure a criteria form is not available for the requested medication.</t>
  </si>
  <si>
    <t>If the criteria form is available, forward to the Seniors (014515) for further evaluation.</t>
  </si>
  <si>
    <t>Submitting Request to Senior Team: https://thesource.cvshealth.com/nuxeo/thesource/#!/view?docid=f3d54724-6ec1-48a8-929d-c7342b4c250d</t>
  </si>
  <si>
    <t>Check IBR history/timing</t>
  </si>
  <si>
    <t>Review the PA History and Notes and see if there is:
 • TWO IBRs on file within last 60 days
 • Only ONE IBR on file within last 60 days
 • NO IBR on file
 • New MD</t>
  </si>
  <si>
    <t>If Only ONE IBR within last 60 days, NO IBR on file, or New MD, go to step 5</t>
  </si>
  <si>
    <t>Check no exception path available</t>
  </si>
  <si>
    <t xml:space="preserve">Check for possible Exceptions Review. Check the red Messages tab in CAS to ensure the member does not have an exception available for the rejection type. </t>
  </si>
  <si>
    <t>If no exception available, go to Step 6.</t>
  </si>
  <si>
    <t>Check if IBR is allowed by the plan</t>
  </si>
  <si>
    <t>Verify RMT if IBR is able to be sent.</t>
  </si>
  <si>
    <t>If IBR is allowed by the plan, Proceed to Step 7.</t>
  </si>
  <si>
    <t>RMT???</t>
  </si>
  <si>
    <t>Complete the IBR</t>
  </si>
  <si>
    <t>Complete the IBR per the standard process. Refer to Commercial PA - How to Create a New PA (067801).</t>
  </si>
  <si>
    <t>https://thesource.cvshealth.com/nuxeo/thesource/#!/view?docid=e281d3f4-4b20-4c72-ae45-cf586fe10b74</t>
  </si>
  <si>
    <t>7-3</t>
  </si>
  <si>
    <t>ePA Loop 2</t>
  </si>
  <si>
    <t>Follow steps in the Smart Routing Tool. See Commercial PA - ePA Process (Loop 2) (105844).</t>
  </si>
  <si>
    <t>Smart Routing Tool</t>
  </si>
  <si>
    <t>Check Client Plan</t>
  </si>
  <si>
    <t>Check Plan</t>
  </si>
  <si>
    <t>If Client is Commercial and NOT a California (CA) plan, 
Then: 
 • Select the close option Initial Benefit Review.
 • Proceed to the next step.</t>
  </si>
  <si>
    <t>CAS - Close Options Tab???</t>
  </si>
  <si>
    <t>Choose denial reason</t>
  </si>
  <si>
    <t>Select the appropriate Resolution Reason on the Denial Tab.</t>
  </si>
  <si>
    <t>Check the link for denial option logic details: https://thesource.cvshealth.com/nuxeo/thesource/#!/view?docid=7d8764dd-e788-47c5-9f4a-fcd65d4d2b93</t>
  </si>
  <si>
    <t>Close the case</t>
  </si>
  <si>
    <t>Enter a single space in the Member Denial note section.</t>
  </si>
  <si>
    <t>Select your title from the Concluded by drop down and click OK.</t>
  </si>
  <si>
    <t>Document your notes in CAS and click Finish.</t>
  </si>
  <si>
    <t>Segment</t>
  </si>
  <si>
    <t>Your table</t>
  </si>
  <si>
    <t>Mine (case_smry, original review)</t>
  </si>
  <si>
    <t>Avg tasks per case (Task only)</t>
  </si>
  <si>
    <t>Avg incl. touches</t>
  </si>
  <si>
    <t>PAC</t>
  </si>
  <si>
    <t>Cases</t>
  </si>
  <si>
    <t>All ePAs</t>
  </si>
  <si>
    <t>PAC20883</t>
  </si>
  <si>
    <t>All (all human)</t>
  </si>
  <si>
    <t>Auto approved</t>
  </si>
  <si>
    <t>Scored approval</t>
  </si>
  <si>
    <t>Human reviewed</t>
  </si>
  <si>
    <t>Scored denial</t>
  </si>
  <si>
    <t>Unscored</t>
  </si>
  <si>
    <t>PAC33295</t>
  </si>
  <si>
    <t>Oct 2025 - Sept 2026, Wegovy PAC 131011</t>
  </si>
  <si>
    <t>All Orgnl Review Approvals</t>
  </si>
  <si>
    <t>%Approval Rate</t>
  </si>
  <si>
    <t>Orgnl Review Ops Cost</t>
  </si>
  <si>
    <t>Orgnl Review HT</t>
  </si>
  <si>
    <t>Appeals Ops cost</t>
  </si>
  <si>
    <t>Appeals Review HT</t>
  </si>
  <si>
    <t>AHT (Sec)</t>
  </si>
  <si>
    <t>IBRs</t>
  </si>
  <si>
    <t>Data Entry</t>
  </si>
  <si>
    <t>Medicaid</t>
  </si>
  <si>
    <t>SPC</t>
  </si>
  <si>
    <t>Commercial Only</t>
  </si>
  <si>
    <t>Appeals</t>
  </si>
  <si>
    <t>Original Review</t>
  </si>
  <si>
    <t>Non ePAs</t>
  </si>
  <si>
    <t>Faxes</t>
  </si>
  <si>
    <t>Non Full Macro (Partial, No Macro)</t>
  </si>
  <si>
    <t>Phone/Calls</t>
  </si>
  <si>
    <t>Others</t>
  </si>
  <si>
    <t>ePAs</t>
  </si>
  <si>
    <t>Original Review PAs, Human Reviewed</t>
  </si>
  <si>
    <t xml:space="preserve">Fell out of GLP1 Model (WIP), think about why model could not do </t>
  </si>
  <si>
    <t>PAs requiring Override Support</t>
  </si>
  <si>
    <t>Original Review ePAs, Human Reviewed</t>
  </si>
  <si>
    <t>Fell out of GLP1 Model (WIP)</t>
  </si>
  <si>
    <t>Qs to Jamie</t>
  </si>
  <si>
    <t>Can we target easy approval pathway that has more approvals?</t>
  </si>
  <si>
    <t>Jamies Qs</t>
  </si>
  <si>
    <t>tech, Rphs, long tail - on the 6 mins</t>
  </si>
  <si>
    <t>attachments is a problem</t>
  </si>
  <si>
    <t>Column M = KC's X marks (unchanged). Column N = Claude's call + short reason, added in v2.</t>
  </si>
  <si>
    <t>What happens (KC's plain language)</t>
  </si>
  <si>
    <t>AS400 / RxClaim?</t>
  </si>
  <si>
    <t>Workshop observation (Ops Reviewer and KC 1-1)</t>
  </si>
  <si>
    <t>KC Started Building the logic</t>
  </si>
  <si>
    <t>Required for PA Caddie?</t>
  </si>
  <si>
    <t>Claude: required for PA Caddie? (Yes / Partly / Later / No) + why</t>
  </si>
  <si>
    <t>1 Get the case</t>
  </si>
  <si>
    <t>Reviewer pulled by hand, so she had no Smart Routing message and did every check herself</t>
  </si>
  <si>
    <t>X</t>
  </si>
  <si>
    <t>Yes - Caddie has to load the PA. In V1 the case comes in from the ePA feed (fell-out ePAs), not from Smart Routing 'Get Next'.</t>
  </si>
  <si>
    <t>Read the PASTA message and the Messages, Guidelines, Work Instructions and red Message tabs. Follow the actions listed</t>
  </si>
  <si>
    <t>Dedicated-team client (e.g., Wellmark, FLBL, HealthFirst): IM the team with the PA # and stop.</t>
  </si>
  <si>
    <t>CAS; MS Teams</t>
  </si>
  <si>
    <t>1, 1.d, 1.h</t>
  </si>
  <si>
    <t>Yes - show the fallout reason and client flags up front (dedicated-team client = stop and IM the team). Replaces reading 4 tabs.</t>
  </si>
  <si>
    <t>2 Is a PA really needed?</t>
  </si>
  <si>
    <t>Verify the drug: on PA Info, re-select the drug from the drop-down (even if prepopulated) so the right macros load. Check strength, brand vs generic, form against the claim.</t>
  </si>
  <si>
    <t>GPI can be matched from the claim in AS400. Only option 'Other, please Specify': move on</t>
  </si>
  <si>
    <t>GPI look-up from the claim</t>
  </si>
  <si>
    <t>Reviewer verified drug and strength; some criteria are wildcarded at GPI level.</t>
  </si>
  <si>
    <t>WIP</t>
  </si>
  <si>
    <t>Yes - first Caddie check (Drug Verification in the UI). Our CAS drug-name resolver gives the suggestion; reviewer confirms.</t>
  </si>
  <si>
    <t>Make sure the correct rejected claim is attached (Claims tab). If you attach one, click Cancel on the next pop-up.</t>
  </si>
  <si>
    <t>Attached and right: leave it. No rejected claim: do not tick 'Rejected Claim Not Available' (ePA)</t>
  </si>
  <si>
    <t>1, 1.e</t>
  </si>
  <si>
    <t>Yes, show only - Caddie shows the rejected claim from intake. Attaching it stays in CAS.</t>
  </si>
  <si>
    <t>Run a mock claim (today, +30, +60 days; never +90) and read the rejection.</t>
  </si>
  <si>
    <t>PA required (75/70 with a Commercial Specialty number): continue. Pays: check overrides (step 6). Refill too soon (79): rerun at the Next Available Fill Date to see the true reject. Other codes: see the rejection WI</t>
  </si>
  <si>
    <t>CAS (Mock Claim)</t>
  </si>
  <si>
    <t>extra mock in AS400</t>
  </si>
  <si>
    <t>1, 1.f, 1.l</t>
  </si>
  <si>
    <t>Reviewer ran mocks to learn what RxClaim is doing. She used the 30-day option to get past refill-too-soon; the real reject was 'PA Required'.</t>
  </si>
  <si>
    <t>Yes - Mock Claim Review. Shows the reject (70/75/76) and the Commercial PA phone. PRAAS is QA2-only, so V1 uses the intake reject plus CAS mock results.</t>
  </si>
  <si>
    <t>Check PA History for an active approval or an override the system loaded</t>
  </si>
  <si>
    <t>Auto-approved by System Services: complete normally (duplicate override, void neither). VTPA / plan-sponsor override in AS400: rerun mock after it expires, complete, do not abort. Duplicate approval / denial / pending: duplicate rules, close with ePA Abort</t>
  </si>
  <si>
    <t>CAS (PA History); RxClaim/AS400</t>
  </si>
  <si>
    <t>Yes (If CAS Prod data is accurate)</t>
  </si>
  <si>
    <t>override look-up</t>
  </si>
  <si>
    <t>1, 1.g, 1.l</t>
  </si>
  <si>
    <t>Reviewer reviews PA history first on any PA: prior approval valid or expiring? legitimate work today?</t>
  </si>
  <si>
    <t>Yes - differ from blank. The UI already has a PA History step and an active approval / duplicate changes the whole outcome. Depends on CAS PROD data being right (your AS400 note).</t>
  </si>
  <si>
    <t>3 Right criteria</t>
  </si>
  <si>
    <t>Confirm the criteria is PAC131011 Weight Loss Wegovy PA with Limit: 
1. Change PA Type/Drug Class -&gt; click the rejected claim to fill reject code / phone / GPI, Search, pick the PAC</t>
  </si>
  <si>
    <t>Right form: Cancel then Save. Wrong form: change it in the same case and re-enter the drug. Several forms: call Vetline</t>
  </si>
  <si>
    <t>1, 1.f, 2</t>
  </si>
  <si>
    <t>Reviewer uses this screen to validate rejection mapping, drug and strength, then backs out (continuing would act like a new PA)</t>
  </si>
  <si>
    <t>Yes - Criteria Review. Check the QSet and drug / reject phone match PAC131011. Changing the form stays in CAS.</t>
  </si>
  <si>
    <t>Check ICD-10 and that Drug Name matches what we are approving (Requested Drug is the original ask)</t>
  </si>
  <si>
    <t>If the provider agrees to switch drugs in the QSet, update Drug Name and rerun the mock claim</t>
  </si>
  <si>
    <t>1, 4</t>
  </si>
  <si>
    <t>Yes - ICD-10 is on the intake row; show it next to the drug name.</t>
  </si>
  <si>
    <t>4 Check the provider's answers (PAC131011)</t>
  </si>
  <si>
    <t>Work the Wegovy questions. Accept the attestation questions as is;
1.  verify age in CAS
2. check maintenance dose and continuation in AS400 paid claims
3. check quantity and day supply in AS400
4. verify the drug / formulation</t>
  </si>
  <si>
    <t>Quantity above plan allowance, or any 'No' on a program / diet / maintenance-dose attestation: forward to RPh</t>
  </si>
  <si>
    <t>CAS; RxClaim/AS400</t>
  </si>
  <si>
    <t>Yes (or check the mock claim results)</t>
  </si>
  <si>
    <t>paid claims, quantity</t>
  </si>
  <si>
    <t>2, 3</t>
  </si>
  <si>
    <t>Need to Start</t>
  </si>
  <si>
    <t>Yes - core of the pilot. Age, maintenance dose / continuation, quantity and day supply from claim data; any 'No' on an attestation = forward to RPh.</t>
  </si>
  <si>
    <t>Open the attachments and read the chart notes for every 'ACTION REQUIRED' question: baseline and current weight with dates, baseline BMI, comorbid condition, CVD / GDMT or MASH evidence when that pathway applies
Also look for anything that contradicts the answer, and confirm the documents are for the right patient</t>
  </si>
  <si>
    <t>Wrong patient: email the split-fax template to CRUSrTech@CVSHealth.com
Documentation missing: RFI (or forward to RPh as the WI says</t>
  </si>
  <si>
    <t>CAS (Attachments)</t>
  </si>
  <si>
    <t>1, 2, 3, 1.m</t>
  </si>
  <si>
    <t>Most of Reviewer's time: scrolling chart notes for weights, dates and BMI; provider answers alone were not accepted.</t>
  </si>
  <si>
    <t>Partly - Caddie lists what to look for (weights + dates, BMI, comorbidity, CVD / MASH evidence). Reading the chart notes stays with the reviewer in V1.</t>
  </si>
  <si>
    <t>Calculate. Weight loss % = (weight before - weight after) / weight before x 100
Same for BMI. BMI = weight(lb) x 703 / height(in)^2
Do not round. Dates need at least month / year</t>
  </si>
  <si>
    <t>At least 5% loss (or BMI reduction / maintained loss for continuation): meets. Under 5%: complete denial</t>
  </si>
  <si>
    <t>Calculator workbook</t>
  </si>
  <si>
    <t>Reviewer used a calculator workbook (about 5% in her example) and recorded the numbers in the note</t>
  </si>
  <si>
    <t>Yes - easy win. Calculator replaces the workbook; reviewer types the weights and dates.</t>
  </si>
  <si>
    <t>Meets: approve. Does not meet with complete clinical: Tech / Nurse pend to clinician, RPh denies
Missing info: RFI. Anything the WI says to forward: RPh
Red Messages tab needing a medical director: pend to clinician</t>
  </si>
  <si>
    <t>1, 1.i, 1.q, 1.t</t>
  </si>
  <si>
    <t>Yes - Case Decision step. Caddie recommends, reviewer decides (approve / pend / RFI / deny).</t>
  </si>
  <si>
    <t>5 Document and close</t>
  </si>
  <si>
    <t>Write the PA note with Auto Note (finish drug name and criteria edits first): 
1. outcome
2. ENTIRE approval message
3. what evidence was needed / where found / what found, dates and calculation</t>
  </si>
  <si>
    <t>Running Auto Note again erases the earlier Auto Note text.</t>
  </si>
  <si>
    <t>CAS (Auto Note)</t>
  </si>
  <si>
    <t>1, 1.j, 1.k</t>
  </si>
  <si>
    <t>Reviewer wrote detailed notes for audit: weights, dates, % calculated, source of evidence</t>
  </si>
  <si>
    <t>Yes - Auto Note. Same engine for all 3 PACs, different templates. Best first build.</t>
  </si>
  <si>
    <t>Check the Completed Date timestamp auto-filled (copy RRD into CD if not, except for RFI)</t>
  </si>
  <si>
    <t>No - agree. CAS fills it. Nothing for Caddie.</t>
  </si>
  <si>
    <t>Close Options: 
1. 'Approved - ePA' (or the pend / RFI / denial option from step 12)
2. Copy approval duration and override instructions with the QSet Copy Dialog
3. Choose Resolution Reason, set approval dates from the duration
4. check Start / End
5. choose Concluded By, OK</t>
  </si>
  <si>
    <t>On a denial: first check System Services did not load an override; void it in AS400</t>
  </si>
  <si>
    <t>CAS; RxClaim/AS400 (denial path)</t>
  </si>
  <si>
    <t>denial path only</t>
  </si>
  <si>
    <t>Reviewer: EPA Approve, 'Concluded By' required (Tech, Pharmacist, Rep, LPN...), checked dates, saved</t>
  </si>
  <si>
    <t>Partly - differ from blank. Caddie suggests the close option and approval duration text; reviewer clicks it in CAS (no CAS write-back in V1).</t>
  </si>
  <si>
    <t>6 Override and finish</t>
  </si>
  <si>
    <t>After OK, CAS goes one of three ways. 
A: back to Member Center
B: Override screen
C: Mock Claim failure screen</t>
  </si>
  <si>
    <t>Depends</t>
  </si>
  <si>
    <t>See A / B / C</t>
  </si>
  <si>
    <t>1, 1.r, 1.s</t>
  </si>
  <si>
    <t>Reviewer saw no override screen and inferred the override was written automatically - FULL MACRO</t>
  </si>
  <si>
    <t>No - agree. CAS behavior. Caddie can just say what to expect.</t>
  </si>
  <si>
    <t>17A</t>
  </si>
  <si>
    <t>A. Back to Member Center = override loaded automatically and the mock claim passed. Nothing more to do.</t>
  </si>
  <si>
    <t>WI: no pop-up appears; do NOT check the override in AS400 and do NOT run a test claim.</t>
  </si>
  <si>
    <t>per WI</t>
  </si>
  <si>
    <t>1, 1.s</t>
  </si>
  <si>
    <t>Reviewer still ran another mock claim (paid) and opened AS400 to show the new override. See 'Flags &amp; Gaps'</t>
  </si>
  <si>
    <t>No - agree. Nothing to do.</t>
  </si>
  <si>
    <t>17B</t>
  </si>
  <si>
    <t>B. Override screen: load the override by hand 
- In CAS: client-type profile (e.g., Agent H, Reason OD, Ignore PA P, Over Sp Rx N, Drug status F, Clinical/Admin C)
- Route of Administration Y, Expiration Message Y, GPI / NDC from the approval message or guidelines, daily dose + S, QVT if required, click Create once 
- In AS400: PA number = your initials + date + sequence</t>
  </si>
  <si>
    <t>Manual overrides: initials + date + unique digits; separate overrides for a drug PA and a quantity PA</t>
  </si>
  <si>
    <t>Yes, but the riskiest build. Show the exact override values to enter. Partial macro goes through OFU 2.0 v2; full macro (1150) is approval term only.</t>
  </si>
  <si>
    <t>17C</t>
  </si>
  <si>
    <t>C. Mock Claim failure screen:
1. re-run the test claim in AS400 for today and 60 days out, 2. check the override GPI against the guidelines, then Resolve (with a note) or mark Not Resolved</t>
  </si>
  <si>
    <t>Common fixes: dose / frequency mismatch, wrong pharmacy ID, day supply not allowed, PLQE needed, refill too soon (rerun at next fill date)</t>
  </si>
  <si>
    <t>Later - needs AS400 troubleshooting. Reviewer keeps it in V1.</t>
  </si>
  <si>
    <t>Click Finish to close the PA. In Smart Routing click Finish under Call Notes too (otherwise the next Get Next errors)</t>
  </si>
  <si>
    <t>CAS; Smart Routing</t>
  </si>
  <si>
    <t>1, 1.d</t>
  </si>
  <si>
    <t>No - agree. Done in CAS / Smart Routing.</t>
  </si>
  <si>
    <t>7 Side paths</t>
  </si>
  <si>
    <t>S1</t>
  </si>
  <si>
    <t>Missing information: put ALL missing items on one RFI using an RFI close option and a template (under 2000 characters)</t>
  </si>
  <si>
    <t>A second RFI on an ePA clears the ePA criteria. RPh can use the combined RFI + soft denial options</t>
  </si>
  <si>
    <t>CAS (Close Options)</t>
  </si>
  <si>
    <t>1, 1.i, 1.t</t>
  </si>
  <si>
    <t>Later (V1.5) - Caddie can draft one RFI listing all missing items. Reviewer sends it in CAS.</t>
  </si>
  <si>
    <t>S2</t>
  </si>
  <si>
    <t>Zepbound request switched to Wegovy: 
1. call = deny Zepbound, send to RPh, open a new Wegovy PA; 2. fax / ePA = deny Zepbound, send to RPh, no new PA. Update drug name and NDC before closing</t>
  </si>
  <si>
    <t>No for V1 - edge path, reviewer handles in CAS.</t>
  </si>
  <si>
    <t>S3</t>
  </si>
  <si>
    <t>Problem tickets and feedback: 
1. Smart Routing errors go to the Smart Routing team
2. wrong PASTA messages go on the PASTA Feedback Form</t>
  </si>
  <si>
    <t>Smart Routing</t>
  </si>
  <si>
    <t>No - process / feedback, not case work.</t>
  </si>
  <si>
    <t>Oct 2025 - Sept 2026, ACF PAC 33295</t>
  </si>
  <si>
    <t>Happy Path?</t>
  </si>
  <si>
    <t>ePA &amp; Loop2 Task Only &amp; Original PA?</t>
  </si>
  <si>
    <t>Intake</t>
  </si>
  <si>
    <t>Get PA</t>
  </si>
  <si>
    <t xml:space="preserve">PA is routed through Smart Routing or manually picked from the queue. 
</t>
  </si>
  <si>
    <t>SR cases open in CAS with a PASTA message.
Manually picked cases require the user to perform the validations.</t>
  </si>
  <si>
    <t>Smart Routing, CAS</t>
  </si>
  <si>
    <t>N/A</t>
  </si>
  <si>
    <t>Y</t>
  </si>
  <si>
    <t>Case Setup</t>
  </si>
  <si>
    <t>Verify Drug Name</t>
  </si>
  <si>
    <t>Reselect/verify the drug name so the correct drug, criteria and macros are loaded. 
This addresses potential vendor-to-admin drug mismatches.</t>
  </si>
  <si>
    <t>Drug matches: Continue review.
Drug mismatch: Correct the drug selection before proceeding.</t>
  </si>
  <si>
    <t xml:space="preserve">CAS </t>
  </si>
  <si>
    <t>Rarely</t>
  </si>
  <si>
    <t>To look-up GPI</t>
  </si>
  <si>
    <t>PA &amp; Criteria Validation</t>
  </si>
  <si>
    <t>Run Initial Test Claim</t>
  </si>
  <si>
    <t>Yes?</t>
  </si>
  <si>
    <t xml:space="preserve">Run a test claim and review the rejection to confirm that a PA is actually required. 
Review RMT if additional information is needed. </t>
  </si>
  <si>
    <t>PA required: Continue PA review.
PA not required: Follow the applicable non-PA path.</t>
  </si>
  <si>
    <t>CAS - Mock Claim, RMT</t>
  </si>
  <si>
    <t>Yes, if CAS is unavailable</t>
  </si>
  <si>
    <t>Run the test claim when CAS cannot run it.</t>
  </si>
  <si>
    <t>TBD, confirm</t>
  </si>
  <si>
    <t>Verify Criteria Form</t>
  </si>
  <si>
    <t>Review the reject code, reject phone, GPI and drug class from the mock claim or attached claim to confirm the correct criteria form is selected.</t>
  </si>
  <si>
    <t>Criteria matches: Continue review.
Criteria does not match: Search available criteria and select the appropriate one.</t>
  </si>
  <si>
    <t>CAS - Change PA Type-Drug Class, RMT</t>
  </si>
  <si>
    <t>Check PA History</t>
  </si>
  <si>
    <t>Check for prior denials and appeal activity. 
For second or later touches, also review prior reviewer notes, fax history, prescriber responses and prior communications as needed.</t>
  </si>
  <si>
    <t>2 denials within 60 days: Route to Appeals.
Active appeal pending: Abort PA review.
Prior appeal completed and within next-level appeal window: Abort and send to Appeals.
No applicable appeal condition: Continue PA review.</t>
  </si>
  <si>
    <t>CAS - PA History</t>
  </si>
  <si>
    <t>Criteria Review</t>
  </si>
  <si>
    <t>Pull up Formulary Alternatives</t>
  </si>
  <si>
    <t>For this ACF PAC, look up the required formulary alternatives in Guidelines and use that list when reviewing the Qset and submitted documentation.</t>
  </si>
  <si>
    <t>Fetch form alts and continue criteria evaluation</t>
  </si>
  <si>
    <t>CAS - Guidelines</t>
  </si>
  <si>
    <t>N</t>
  </si>
  <si>
    <t>Review Scored Approval</t>
  </si>
  <si>
    <t>Verify Q2 by confirming the required formulary alternatives and whether the prescriber provided sufficient clinical reasoning or documentation. 
Free-text Qset responses can be used if they sufficiently support the prescriber's intent; review clinical notes/history if additional evidence is needed.</t>
  </si>
  <si>
    <t>Q2 supported: Approval.
Additional information required: RFI.
Q2 not supported: Denial, based on the specific case.</t>
  </si>
  <si>
    <t>CAS - Criteria, PA History, PA Details, Attachments</t>
  </si>
  <si>
    <t>Extra caution to checkout</t>
  </si>
  <si>
    <t>Review Scored Denial</t>
  </si>
  <si>
    <t>Investigate the specific question driving the denial. 
For Q1, review relevant prior history and formulary alternatives. 
For Q2, validate formulary-alternative evidence. 
For Q3/Q4, review diagnosis or other clinical evidence.</t>
  </si>
  <si>
    <t>Evidence supports changing the response: Update the response and reassess the Qset.
More information is required: RFI.
No evidence supports changing the response: Continue with Denial.</t>
  </si>
  <si>
    <t>Review Unscored Criteria</t>
  </si>
  <si>
    <t>Follow the criteria-specific workflow and validate the supporting evidence for the applicable questions. 
Update responses when the available evidence supports the change.</t>
  </si>
  <si>
    <t>Evidence supports a response change: Update the response and continue through the criteria.
Criteria supports approval: Approval.
Additional information required: RFI.
Criteria not met: Denial.</t>
  </si>
  <si>
    <t>This might come at the beginning?</t>
  </si>
  <si>
    <t>Documentation</t>
  </si>
  <si>
    <t>Generate PA Notes</t>
  </si>
  <si>
    <t>Document the review rationale and generate the PA note.</t>
  </si>
  <si>
    <t>The note content changes based on approval, denial, or RFI outcome.</t>
  </si>
  <si>
    <t>CAS, Auto Note</t>
  </si>
  <si>
    <t>Case Completion</t>
  </si>
  <si>
    <t>Complete Close Option Activities</t>
  </si>
  <si>
    <t>Select the appropriate close option and complete the other required fields.</t>
  </si>
  <si>
    <t>Follow the approval, denial, or RFI close path.</t>
  </si>
  <si>
    <t>CAS - Close Option</t>
  </si>
  <si>
    <t>Check Partial Macro Flag</t>
  </si>
  <si>
    <t>Post-Adjudication</t>
  </si>
  <si>
    <t>Run Test Claim After Approval</t>
  </si>
  <si>
    <t>Approval only</t>
  </si>
  <si>
    <t>If approval, run another test claim to confirm that the claim pays correctly.</t>
  </si>
  <si>
    <t>Claim pays: Complete processing.
Claim does not pay: Follow CMS-PRD1-088300 and troubleshoot the claim.</t>
  </si>
  <si>
    <t>CAS - Mock Claim</t>
  </si>
  <si>
    <t>Run the post-approval test claim when CAS cannot run it.</t>
  </si>
  <si>
    <t>PRAAS API</t>
  </si>
  <si>
    <t>ePA &amp; Loop2 Task Only &amp; Original PA ?</t>
  </si>
  <si>
    <t>Check Client Eligibility</t>
  </si>
  <si>
    <t xml:space="preserve">    ↳Alternate Path 4-1</t>
  </si>
  <si>
    <t xml:space="preserve">If 2 IBRs on file within last 60 days (same drug same prescriber), then </t>
  </si>
  <si>
    <t xml:space="preserve">        ↳ 4-1-1</t>
  </si>
  <si>
    <t>If the request is received by Phone Call:
 • Advise the caller of the appeals process.
 • Add member note in CAS (017050) using the No PA Required note type.</t>
  </si>
  <si>
    <t>https://thesource.cvshealth.com/nuxeo/thesource/#!/view?docid=079e1abe-708c-4c91-8fc8-965a1c55edae</t>
  </si>
  <si>
    <t xml:space="preserve">        ↳ 4-1-2</t>
  </si>
  <si>
    <t xml:space="preserve">If the request is received by Fax:
 • Enter PA note.
        ◦ Highlight PA.
        ◦ From the Notes tab, click Add.
        ◦ Type note. (i.e., fwd drug name to appeals.)
        ◦ Click Save, note now appears in the note tab.
 • Re-Fax (083144) the request to the Appeals Department using the Transfer to Appeals cover page.
       </t>
  </si>
  <si>
    <t>https://thesource.cvshealth.com/nuxeo/thesource/#!/view?docid=4549798d-e4c5-4bd6-bd3b-3a04d2c33577</t>
  </si>
  <si>
    <t xml:space="preserve">        ↳ 4-1-3</t>
  </si>
  <si>
    <t xml:space="preserve">If the request is received by ePA Loop 1 (Triage &amp; Research):
 • Refax the latest IBR letter to the prescriber.
 • In EPA Notes enter: “Duplicate request. IBR letter has been refaxed to md”.
 • Change the Select Status to Remove from ePA workflow and process in CAS.
 • Click Save.
       </t>
  </si>
  <si>
    <t xml:space="preserve">        ↳ 4-1-4</t>
  </si>
  <si>
    <t xml:space="preserve">If the request is received by ePA Loop 2 (Pending Approval, Duplicate Approval, Duplicate Denial Queues etc.):
 • Refax the later denial letter.
 • To complete your PA notes, please refer to Commercial PA - CAS Notes (086494), section: “Examples of Notes When Aborting a PA,” under “Examples for Aborting a PA When Working in Loop 2.”
 • Chose Abort close option.
 </t>
  </si>
  <si>
    <t>https://thesource.cvshealth.com/nuxeo/thesource/#!/view?docid=44073e92-046d-4352-b233-85013d662930</t>
  </si>
  <si>
    <t xml:space="preserve">    ↳Alternate Path 5-1</t>
  </si>
  <si>
    <t>If exception available for rejection:</t>
  </si>
  <si>
    <t xml:space="preserve">        ↳ 5-1-1</t>
  </si>
  <si>
    <t xml:space="preserve">Received by Phone Call: 
 • Verify reject code. If the test claim rejects with 70, create an ePA starter. See Commercial PA - Create an ePA via CoverMyMeds(ePA Starter) (002910).
 • If any other Exceptions scenario applies, submit a fax request form through the Exceptions HUB (005750) page.
 • Add member note in CAS (017050).
 </t>
  </si>
  <si>
    <t xml:space="preserve"> • https://thesource.cvshealth.com/nuxeo/thesource/#!/view?docid=85d1903e-7d99-466f-982e-2fd1ce2c38e6
 • https://thesource.cvshealth.com/nuxeo/thesource/#!/view?docid=5dc07549-8df0-43a8-8fc0-2025e552325c
 • https://thesource.cvshealth.com/nuxeo/thesource/#!/view?docid=079e1abe-708c-4c91-8fc8-965a1c55edae</t>
  </si>
  <si>
    <t xml:space="preserve">        ↳ 5-1-2</t>
  </si>
  <si>
    <t>Received by Fax: Re-assign the request to the appropriate Unassigned – Exceptions queue.</t>
  </si>
  <si>
    <t xml:space="preserve">        ↳ 5-1-3</t>
  </si>
  <si>
    <t>Received in ePA Loop 1 (Triage/Research Queue): Re-assign the request to the Exceptions Triage queue.</t>
  </si>
  <si>
    <t xml:space="preserve">        ↳ 5-1-4</t>
  </si>
  <si>
    <t>Received in ePA Loop 2: 
 • Verify reject code. If the test claim rejects with 70, transfer to the Exceptions team.
 • Use the ePA TRANSFER to EXCEPTIONS coversheet along with the two documents and any ePA attachments you saved to the Exceptions internal fax queue at 8442751083@fax.cvshealth.com.
 • To complete your PA notes, please refer to Commercial PA - CAS Notes (086494), section: “Examples of Notes When Aborting a PA,” under “Examples for Aborting a PA When Working in Loop 2.”
 • Abort the original ePA.
 • Click Finish to close the PA.</t>
  </si>
  <si>
    <t xml:space="preserve">    ↳Alternate Path 6-1</t>
  </si>
  <si>
    <t>If Client does not allow IBR and received as fax, then Fax back as Misdirected.</t>
  </si>
  <si>
    <t xml:space="preserve">    ↳ 6-2</t>
  </si>
  <si>
    <t>If Client does not allow IBR and a call, then Refer them back to the plan.</t>
  </si>
  <si>
    <t xml:space="preserve">    ↳ 6-3</t>
  </si>
  <si>
    <t>If Client does not allow IBR and received in ePA Loop 1, then Select Remove from ePA (No PA drug in CAS) status.</t>
  </si>
  <si>
    <t xml:space="preserve">    ↳ 6-4</t>
  </si>
  <si>
    <t>If Client does not allow IBR and received in ePA Loop 2, then Abort ePA with message advising md to contact plan (phone/fax number may be available in RMT).</t>
  </si>
  <si>
    <t xml:space="preserve">    ↳ 6-5</t>
  </si>
  <si>
    <t>If IBR is suppressed, then Complete the IBR but provide the prescriber with the Appeals information.</t>
  </si>
  <si>
    <t>7-1</t>
  </si>
  <si>
    <t>Calls</t>
  </si>
  <si>
    <t xml:space="preserve"> • Select Non Clinical for the PA Type and Initial Benefit Review in the PAC/Drug Class Selections field.
 • Attach the claim (109413). Remember, for best practice, claims should only be selected from the previous 7 days. For best practice, if there are no claims available, or claims are older than 7 days, click the “Rejected Claim Not Available” box.
 • Enter the drug and physician information (089499). Drug Name and Requested Drug drop down options will include “Other.”
 • Use the “Set to now” button for the received and completed timestamp fields. Note: The received and completed timestamp fields cannot be the same. If the IBR is completed on the call, use the “Set to now” button on the Verbal Notification timestamp as well.
 • Complete the Criteria tab.
 • To complete your PA Notes, please refer to Commercial PA - CAS Notes (086494).
 • Select the appropriate close option and the Resolution Reason for processing the IBR.
 • Click Finish to close the PA.</t>
  </si>
  <si>
    <t>7-2</t>
  </si>
  <si>
    <t>ePA Loop 1</t>
  </si>
  <si>
    <t xml:space="preserve"> • Choose PA Type Non Clinical and choose PA Class Initial Benefit Review (NonClinic) from the drop-down in the ePA mini app under Drug Class tab.
 • In the mini-app Change the select status to Return to ePA for automated processing.
 • Click Save.</t>
  </si>
  <si>
    <t>7-4</t>
  </si>
  <si>
    <t xml:space="preserve"> • Select Non Clinical for the PA Type and Initial Benefit Review in the PAC/Drug Class Selections field.
 • Attach the Claim (109413). Remember, for best practice, claims should only be selected from the previous 7 days. For best practice, if there are no claims available, or claims are older than 7 days, click the “Rejected Claim Not Available” box.
 • Enter the drug and physician information (089499). Drug Name and Requested Drug drop down options will include “Other.”
 • Use the timestamp from the fax for BOTH the Request Rec’d and Completed timestamp fields.
 • Complete the Criteria tab.
 • To complete your PA Notes, please refer to Commercial PA - CAS Notes (086494).
 • Select the appropriate close option and the Resolution Reason for processing the IBR.
 • Click Finish to close the PA.</t>
  </si>
  <si>
    <t>7-5</t>
  </si>
  <si>
    <t>Unassigned</t>
  </si>
  <si>
    <t xml:space="preserve"> • Open a second CAS session and locate the member.
 • Open a new PA.
 • Select Non Clinical for the PA Type and Initial Benefit Review in the PAC/Drug Class Selections field.
 • Attach the claim (109413). Remember, for best practice, claims should only be selected from the previous 7 days. For best practice, if there are no claims available, or claims are older than 7 days, click the “Rejected Claim Not Available” box.
 • Enter the drug and physician information (089499). Drug Name and Requested Drug drop down options will include “Other.”
 • Use the timestamp from the fax for BOTH the Request Rec’d and Completed timestamp fields.
 • To complete your PA Notes, please refer to Commercial PA - CAS Notes (086494).
 • Select the appropriate close option and the Resolution Reason for processing the IBR.
 • Click Finish to close the PA.
 • Once you have completed the IBR, return to the initial CAS session with the fax.
 • Select the PA Records tab.
 • Attach the fax to the completed IBR as a Fax Attachment using option 1.</t>
  </si>
  <si>
    <t>Confirm where is this happening?</t>
  </si>
  <si>
    <t>8-1</t>
  </si>
  <si>
    <t xml:space="preserve">If Client IS a CA plan (This list is not conclusive),
Oscar Healthcare CA Exchange
Oscar Small Group CA Exchange
NIPPON CA
Nippon Life Benefits CA
Nippon Life Benefits- Kilroy
Lacera
Saddleback Church
Sharp Health Plan Commercial CA
Sharp Health Plan Exchange CA
Palomar Health
MPS- Nation Care CA
(Refer to Commercial PA - Reviewing California IBRs for Continuity of Care (CoC) (Tech/RPh) (028540).)
Then
         • Choose “Fwd to RPh CA CoC Review” Close option.
    RPh Instruction ONLY:
         • Review request for indication of CoC/Renewal.
         • Review claim history for any paid claims that would result in patient taking requested drug within past 120 days.
            Example: Lookback would need to be 210 days if 90-day supply was dispensed on paid claim.
 </t>
  </si>
  <si>
    <t>this should be automated by ANT</t>
  </si>
  <si>
    <t>Understand the IBR universe</t>
  </si>
  <si>
    <t>What IBR criteria/PACs exist, and what distinguishes them?</t>
  </si>
  <si>
    <t>What does PAC 20883 represent, and why does it account for most of our IBR volume?</t>
  </si>
  <si>
    <t>Do workflow requirements vary by PAC, client, LOB, or Commercial/Medicaid?</t>
  </si>
  <si>
    <t>How do we identify that a request is an IBR? Is it already classified/flagged as IBR in CAS before the reviewer opens the case, or does the reviewer determine that it’s IBR during the review?</t>
  </si>
  <si>
    <t>Define the minimum required IBR workflow</t>
  </si>
  <si>
    <t>For a standard IBR(happy path), what checks are actually required to make the determination? what are the reviewer’s steps from start to finish?</t>
  </si>
  <si>
    <t>Which steps are true business/regulatory requirements versus operational safeguards? / Which steps feel redundant or repetitive to reviewers?</t>
  </si>
  <si>
    <t>Do we need to run the mock claim at the beginning of each IBR request? If so, why do we need to run a mock claim? What specifically are we verifying?</t>
  </si>
  <si>
    <t>Which systems/tabs does the reviewer use, and what information are they looking for in each?</t>
  </si>
  <si>
    <t>What documentation or notes are required to complete the case?</t>
  </si>
  <si>
    <t>If there's a system can validate the required information automatically, which manual reviewer steps could be eliminated?</t>
  </si>
  <si>
    <t>Understand exceptions to the standard flow</t>
  </si>
  <si>
    <t>What conditions cause a request that initially looks like IBR to move to another criterion or workflow? / What are the cases where the normal IBR workflow doesn't work?</t>
  </si>
  <si>
    <t>What scenarios result in an IBR approval rather than denial?</t>
  </si>
  <si>
    <t>When does the reviewer need to escalate to a pharmacist instead of completing the IBR independently?</t>
  </si>
  <si>
    <t> </t>
  </si>
  <si>
    <t>Can you connect us with someone who regularly works IBR cases so we can watch them process a few different examples end-to-end?</t>
  </si>
  <si>
    <t>IBR (PAC20883) - process steps in plain English, written from the source work instructions</t>
  </si>
  <si>
    <t>Source: Commercial PA - Initial Benefit Review (IBR) Process (WI 075115, modified 10/7/2026), plus Non-PA Benefit Reject Types (095630), CA IBR Continuity of Care (028540) and IBR Worked in Error. An IBR = the drug has no PA / no criteria, so we send a no-PA-required denial letter that explains appeal rights. 'Process 3' tab is kept as is; 'Maps to P3 step' shows where each step lines up</t>
  </si>
  <si>
    <t>Who / channel</t>
  </si>
  <si>
    <t>Maps to P3 step</t>
  </si>
  <si>
    <t>Notes</t>
  </si>
  <si>
    <t>Is it really an IBR?</t>
  </si>
  <si>
    <t>Confirm the reject is a non-PA benefit reject</t>
  </si>
  <si>
    <t>Read the rejection or run a test claim. The drug must be rejecting for a plan-benefit reason (not covered, non-formulary, copay, mail, quantity, age, out of network, step, etc.) and NOT for a PA.</t>
  </si>
  <si>
    <t>Reject shows a PA phone number: it is a PA, not an IBR - stop. Non-PA reject: continue.
Reject 606 on Brand Strategy Formulary clients: IBR is correct.
Reject 70 with a (+): check Red Message tab for a formulary exception first.</t>
  </si>
  <si>
    <t>CAS (test claim); AS400 / RxClaim</t>
  </si>
  <si>
    <t>Tech / Rep</t>
  </si>
  <si>
    <t>Reject examples are in WI 095630. Medical-benefit requests need no IBR.</t>
  </si>
  <si>
    <t>Check the Red Message tab</t>
  </si>
  <si>
    <t>Read the Red Message tab for client details and any client-specific IBR rules.</t>
  </si>
  <si>
    <t>Client opted out of IBR, or is Aetna / Medicare Part D / Medicaid / CVS Caremark Drug Exclusion Formulary Exception: no IBR. Otherwise continue.</t>
  </si>
  <si>
    <t>CAS (Red Message tab)</t>
  </si>
  <si>
    <t>Commercial Specialty PA cannot complete IBRs - run the test claim and ask the Senior team (014515) if unsure.</t>
  </si>
  <si>
    <t>Make sure no criteria form exists</t>
  </si>
  <si>
    <t>Search CAS for a criteria form for the requested drug.</t>
  </si>
  <si>
    <t>Form exists: it is a PA - forward to the Seniors (014515).
Quantity request and a post-limit criteria form exists: do not work the IBR.
No form: continue.</t>
  </si>
  <si>
    <t>Can we issue it now?</t>
  </si>
  <si>
    <t>Check IBR history (last 60 days)</t>
  </si>
  <si>
    <t>Open PA History and Notes. Look for IBRs on file for the same drug in the last 60 days.</t>
  </si>
  <si>
    <t>TWO IBRs in 60 days: do not issue a third, send to appeals by channel -
  Phone: tell caller about appeals, add 'No PA Required' member note.
  Fax: add PA note, re-fax to Appeals with the Transfer to Appeals cover page.
  ePA Loop 1: re-fax latest IBR letter to prescriber, note 'Duplicate request', set status Remove from ePA workflow.
  ePA Loop 2: re-fax the latest denial letter, note it, Abort.
ONE, none, or a new prescriber: continue.</t>
  </si>
  <si>
    <t>CAS (PA History, Notes)</t>
  </si>
  <si>
    <t>Some clients have no 60-day limit - Red Message tab says so.</t>
  </si>
  <si>
    <t>Check for an exception path</t>
  </si>
  <si>
    <t>Check Red Messages for an exception the member could use for this reject.</t>
  </si>
  <si>
    <t>No exception: continue.
Exception exists -
  Phone: reject 70 = create an ePA starter (CoverMyMeds), anything else = Exceptions HUB fax form; add member note.
  Fax: move to the Unassigned - Exceptions queue.
  ePA Loop 1: move to Exceptions Triage queue.
  ePA Loop 2: reject 70 = send to Exceptions team (fax coversheet), note it, Abort the ePA.</t>
  </si>
  <si>
    <t>CAS; Exceptions HUB; CoverMyMeds</t>
  </si>
  <si>
    <t>Check the plan allows IBR</t>
  </si>
  <si>
    <t>Look in RMT to see whether this client sends IBRs.</t>
  </si>
  <si>
    <t>Allowed: continue.
Suppressed: do the IBR but give the prescriber the appeals information.
Not allowed -
  Fax: send back as Misdirected.
  Phone: refer caller to the plan.
  ePA Loop 1: status 'Remove from ePA (No PA drug in CAS)'.
  ePA Loop 2: Abort with a message to contact the plan.</t>
  </si>
  <si>
    <t>RMT</t>
  </si>
  <si>
    <t>Create the IBR</t>
  </si>
  <si>
    <t>Open the PA as Non Clinical / Initial Benefit Review</t>
  </si>
  <si>
    <t>Set PA Type = Non Clinical and the PAC / Drug Class = Initial Benefit Review. Attach the rejected claim (best practice: from the last 7 days; if none, tick 'Rejected Claim Not Available'). Enter drug and prescriber ('Other' is allowed for both). Fill the Criteria tab.</t>
  </si>
  <si>
    <t>By channel -
  Phone / Fax: do it in CAS as above.
  ePA Loop 1: pick Non Clinical + 'Initial Benefit Review (NonClinic)' in the mini app, set status 'Return to ePA for automated processing', Save.
  ePA Loop 2: follow the Smart Routing Tool (if down, go on manually).
  Unassigned: open a second CAS session, make a new PA, then attach the fax to the finished IBR.</t>
  </si>
  <si>
    <t>CAS; ePA mini app; Smart Routing Tool</t>
  </si>
  <si>
    <t>Detail for creating a PA is in WI 067801.</t>
  </si>
  <si>
    <t>Set the timestamps</t>
  </si>
  <si>
    <t>Fill Received and Completed. They cannot be the same on a call.</t>
  </si>
  <si>
    <t>Phone: 'Set to now' for both (Verbal Notification too if completed on the call - required for NY clients).
Fax: fax timestamp for both.
ePA Loop 1: 'Edit Date' from transaction details for both.
ePA Loop 2: see ePA Process (Loop 2) WI 105844.</t>
  </si>
  <si>
    <t>Good Caddie candidate - the rule depends only on channel.</t>
  </si>
  <si>
    <t>Close it</t>
  </si>
  <si>
    <t>Pick the close option by client</t>
  </si>
  <si>
    <t>Choose the close option for the client's plan.</t>
  </si>
  <si>
    <t>Commercial, not California: close option 'Initial Benefit Review'.
California plan (e.g. Oscar CA, Nippon, Lacera, Saddleback, Sharp, Palomar; list is not complete): close option 'Fwd to RPh CA CoC Review'. The pharmacist checks continuity of care (paid claim in last 120 days, no change in dose / quantity). Eligible = 'CA CoC Approve' plus override. Not eligible = deny with a 'CA IBR-' reason.</t>
  </si>
  <si>
    <t>Tech / Rep; RPh for CA</t>
  </si>
  <si>
    <t>KC's P3 note asked 'where is this happening?' - it is the Close Options dialog.</t>
  </si>
  <si>
    <t>Pick the denial reason</t>
  </si>
  <si>
    <t>On the Denial tab, choose the resolution reason that matches the reject type (about 25 reject types, each with its own letter wording). CA plans use the 'CA IBR-' version of the same reason.</t>
  </si>
  <si>
    <t>Plan exclusion / not covered: 'Drug Not Covered / Plan Exclusion' (the 'Non-FDA Approved' and 'Other' versions are HMSA only).
Exceeds Claim Amount: only if a senior advises.
Quantity limit: not if a post-limit form exists.
Others map one to one: Non-Formulary, Co-Pay, Mandatory Mail, Age, Out of Network, Step, Max Benefit, Refill Too Soon, Deductible, Med-B, Backdating, Compound, NDC, Vaccine Age, Weight Management M1, Reject 71 prescriber.</t>
  </si>
  <si>
    <t>CAS (Denial tab)</t>
  </si>
  <si>
    <t>KC note on P3: 'should be automated by ANT'. This is a lookup from reject type, a strong candidate.</t>
  </si>
  <si>
    <t>Enter a single space in the Member Denial note</t>
  </si>
  <si>
    <t>Type one space in the Member Denial note box.</t>
  </si>
  <si>
    <t>Select Concluded By</t>
  </si>
  <si>
    <t>Pick your title in the Concluded By drop-down and click OK.</t>
  </si>
  <si>
    <t>Write the PA notes and Finish</t>
  </si>
  <si>
    <t>Write PA notes per the CAS Notes WI (086494), then click Finish. On a call, tell the caller an IBR letter will be sent.</t>
  </si>
  <si>
    <t>None.
Talk track: the letter goes by mail to the member and by fax to the prescriber. It lists the coverage info and how to appeal. It does NOT start an appeal.</t>
  </si>
  <si>
    <t>Requestor cannot file an appeal until an IBR is done.</t>
  </si>
  <si>
    <t>Other paths (not the main flow)</t>
  </si>
  <si>
    <t>Path</t>
  </si>
  <si>
    <t>When</t>
  </si>
  <si>
    <t>What happens</t>
  </si>
  <si>
    <t>Source</t>
  </si>
  <si>
    <t>A</t>
  </si>
  <si>
    <t>IBR worked in error</t>
  </si>
  <si>
    <t>A drug that needs clinical review got an IBR by mistake</t>
  </si>
  <si>
    <t>1. Ask a Senior Rep to pull the letters (call if under 30 minutes, HUB request if over).
2. Check PA History for an appeal. If one is open, email Appeals.Commercial (do NOT abort it); for an external review, wait for their reply.
3. Open a new PA on the correct criteria and attach the IBR documents and notes.
4. Make two outbound calls: prescriber office first (work the PA by phone, tell them to ignore the letter), then the member (no voicemail).
5. Approve if it meets; otherwise send to RPh. Then abort the IBR.
RPh denials get the 'revised determination' sentence added at the end.</t>
  </si>
  <si>
    <t>WI: IBR Worked in Error</t>
  </si>
  <si>
    <t>B</t>
  </si>
  <si>
    <t>California continuity of care</t>
  </si>
  <si>
    <t>California client</t>
  </si>
  <si>
    <t>Tech routes to the RPh queue with 'Fwd to RPh CA CoC Review'. RPh looks for renewal / continuation (last 120 days) and either approves with 'CA CoC Approve' plus override or denies with the CA IBR reason. Sutter Health Plan is not eligible for CoC; Sharp has custom reasons.</t>
  </si>
  <si>
    <t>WI 028540</t>
  </si>
  <si>
    <t>C</t>
  </si>
  <si>
    <t>Appeals instead of a third IBR</t>
  </si>
  <si>
    <t>Two IBRs already in 60 days</t>
  </si>
  <si>
    <t>See step 4. The point is the request goes to Appeals, not into a third IBR letter.</t>
  </si>
  <si>
    <t>WI 075115</t>
  </si>
  <si>
    <t>D</t>
  </si>
  <si>
    <t>Moved to Exceptions or Senior team</t>
  </si>
  <si>
    <t>Exception exists, form exists, or unclear reject</t>
  </si>
  <si>
    <t>See steps 3 and 5. Not an IBR - the request is moved, not denied.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</si>
</sst>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K"/>
    <numFmt numFmtId="167" formatCode="&quot;$&quot;0.0,,&quot;M&quot;"/>
    <numFmt numFmtId="168" formatCode="[&gt;=1000]#,##0,&quot;k&quot;;#,##0"/>
    <numFmt numFmtId="169" formatCode="0.0"/>
    <numFmt numFmtId="170" formatCode="[&gt;=1000000000]\$0.0,,,&quot;B&quot;;[&gt;=1000000]\$0.0,,&quot;M&quot;;\$#,##0"/>
    <numFmt numFmtId="171" formatCode="&quot;$&quot;#,##0"/>
  </numFmts>
  <fonts count="35">
    <font>
      <sz val="12"/>
      <color theme="1"/>
      <name val="Aptos Narrow"/>
      <family val="2"/>
      <scheme val="minor"/>
    </font>
    <font>
      <b/>
      <sz val="12"/>
      <color theme="1"/>
      <name val="Aptos Narrow"/>
      <family val="2"/>
      <scheme val="minor"/>
    </font>
    <font>
      <sz val="12"/>
      <color theme="1"/>
      <name val="Aptos Narrow"/>
      <family val="2"/>
    </font>
    <font>
      <b/>
      <sz val="12"/>
      <color theme="1"/>
      <name val="Aptos Narrow"/>
      <scheme val="minor"/>
    </font>
    <font>
      <u/>
      <sz val="12"/>
      <color theme="1"/>
      <name val="Aptos Narrow"/>
      <family val="2"/>
      <scheme val="minor"/>
    </font>
    <font>
      <b/>
      <sz val="12"/>
      <color theme="0"/>
      <name val="Aptos Narrow"/>
      <scheme val="minor"/>
    </font>
    <font>
      <sz val="12"/>
      <color theme="1"/>
      <name val="Aptos Narrow"/>
      <family val="2"/>
      <scheme val="minor"/>
    </font>
    <font>
      <u/>
      <sz val="12"/>
      <color theme="10"/>
      <name val="Aptos Narrow"/>
      <family val="2"/>
      <scheme val="minor"/>
    </font>
    <font>
      <sz val="12"/>
      <color rgb="FF000000"/>
      <name val="Aptos Narrow"/>
      <scheme val="minor"/>
    </font>
    <font>
      <sz val="12"/>
      <color rgb="FF000000"/>
      <name val="Aptos Narrow"/>
      <family val="2"/>
      <scheme val="minor"/>
    </font>
    <font>
      <sz val="12"/>
      <color theme="2"/>
      <name val="Aptos Narrow"/>
      <family val="2"/>
      <scheme val="minor"/>
    </font>
    <font>
      <b/>
      <sz val="14"/>
      <color rgb="FFFFFFFF"/>
      <name val="Aptos Narrow"/>
      <family val="2"/>
      <scheme val="minor"/>
    </font>
    <font>
      <sz val="11"/>
      <color theme="1"/>
      <name val="Aptos Narrow"/>
      <family val="2"/>
      <scheme val="minor"/>
    </font>
    <font>
      <sz val="12"/>
      <color rgb="FFC00000"/>
      <name val="Aptos Narrow"/>
      <family val="2"/>
      <scheme val="minor"/>
    </font>
    <font>
      <b/>
      <sz val="14"/>
      <color theme="0"/>
      <name val="Aptos Narrow"/>
      <family val="2"/>
      <scheme val="minor"/>
    </font>
    <font>
      <b/>
      <sz val="13"/>
      <color rgb="FFBFBFBF"/>
      <name val="Arial"/>
      <family val="2"/>
    </font>
    <font>
      <sz val="13"/>
      <color rgb="FFBFBFBF"/>
      <name val="Arial"/>
      <family val="2"/>
    </font>
    <font>
      <b/>
      <sz val="13"/>
      <name val="Arial"/>
      <family val="2"/>
    </font>
    <font>
      <sz val="13"/>
      <name val="Arial"/>
      <family val="2"/>
    </font>
    <font>
      <sz val="11"/>
      <color rgb="FF242424"/>
      <name val="Aptos Narrow"/>
    </font>
    <font>
      <b/>
      <sz val="12"/>
      <color theme="0"/>
      <name val="Aptos Narrow"/>
      <family val="2"/>
      <scheme val="minor"/>
    </font>
    <font>
      <sz val="12"/>
      <color rgb="FFFF0000"/>
      <name val="Aptos Narrow"/>
      <family val="2"/>
      <scheme val="minor"/>
    </font>
    <font>
      <b/>
      <sz val="11"/>
      <color rgb="FF242424"/>
      <name val="Aptos Narrow"/>
    </font>
    <font>
      <b/>
      <sz val="10.5"/>
      <color theme="1"/>
      <name val="Segoe UI"/>
      <charset val="1"/>
    </font>
    <font>
      <sz val="11"/>
      <color theme="1"/>
      <name val="Calibri"/>
      <family val="2"/>
    </font>
    <font>
      <b/>
      <sz val="11"/>
      <color theme="1"/>
      <name val="Calibri"/>
      <family val="2"/>
    </font>
    <font>
      <b/>
      <sz val="12"/>
      <color theme="2"/>
      <name val="Aptos Narrow"/>
      <family val="2"/>
      <scheme val="minor"/>
    </font>
    <font>
      <i/>
      <sz val="10"/>
      <name val="Aptos Narrow"/>
    </font>
    <font>
      <sz val="11"/>
      <name val="Aptos Narrow"/>
    </font>
    <font>
      <b/>
      <sz val="12"/>
      <color rgb="FFC00000"/>
      <name val="Aptos Narrow"/>
    </font>
    <font>
      <sz val="12"/>
      <color theme="1"/>
      <name val="Aptos Narrow"/>
      <scheme val="minor"/>
    </font>
    <font>
      <sz val="12"/>
      <name val="Aptos Narrow (Body)"/>
    </font>
    <font>
      <b/>
      <sz val="14"/>
      <name val="Aptos Narrow (Body)"/>
    </font>
    <font>
      <b/>
      <sz val="12"/>
      <name val="Aptos Narrow (Body)"/>
    </font>
    <font>
      <i/>
      <sz val="11"/>
      <name val="Aptos Narrow"/>
    </font>
  </fonts>
  <fills count="18">
    <fill>
      <patternFill patternType="none"/>
    </fill>
    <fill>
      <patternFill patternType="gray125"/>
    </fill>
    <fill>
      <patternFill patternType="solid">
        <fgColor rgb="FFC00000"/>
        <bgColor indexed="64"/>
      </patternFill>
    </fill>
    <fill>
      <patternFill patternType="solid">
        <fgColor theme="4"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FFFF00"/>
        <bgColor indexed="64"/>
      </patternFill>
    </fill>
    <fill>
      <patternFill patternType="solid">
        <fgColor rgb="FFC00000"/>
        <bgColor rgb="FFFFFFFF"/>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39997558519241921"/>
        <bgColor indexed="64"/>
      </patternFill>
    </fill>
    <fill>
      <patternFill patternType="solid">
        <fgColor rgb="FFF2F2F2"/>
      </patternFill>
    </fill>
    <fill>
      <patternFill patternType="solid">
        <fgColor rgb="FFE2EFDA"/>
      </patternFill>
    </fill>
    <fill>
      <patternFill patternType="solid">
        <fgColor rgb="FFFFF2CC"/>
      </patternFill>
    </fill>
    <fill>
      <patternFill patternType="solid">
        <fgColor rgb="FFEDEDED"/>
      </patternFill>
    </fill>
    <fill>
      <patternFill patternType="solid">
        <fgColor rgb="FFFFC000"/>
        <bgColor indexed="64"/>
      </patternFill>
    </fill>
  </fills>
  <borders count="3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style="medium">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medium">
        <color indexed="64"/>
      </left>
      <right style="medium">
        <color indexed="64"/>
      </right>
      <top/>
      <bottom style="medium">
        <color indexed="64"/>
      </bottom>
      <diagonal/>
    </border>
    <border>
      <left/>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right style="medium">
        <color indexed="64"/>
      </right>
      <top/>
      <bottom style="medium">
        <color rgb="FF000000"/>
      </bottom>
      <diagonal/>
    </border>
    <border>
      <left style="medium">
        <color indexed="64"/>
      </left>
      <right style="medium">
        <color indexed="64"/>
      </right>
      <top style="medium">
        <color indexed="64"/>
      </top>
      <bottom style="medium">
        <color indexed="64"/>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thin">
        <color rgb="FFBFBFBF"/>
      </right>
      <top/>
      <bottom style="thin">
        <color rgb="FFBFBFBF"/>
      </bottom>
      <diagonal/>
    </border>
  </borders>
  <cellStyleXfs count="8">
    <xf numFmtId="0" fontId="0" fillId="0" borderId="0"/>
    <xf numFmtId="43" fontId="6" fillId="0" borderId="0"/>
    <xf numFmtId="9" fontId="6" fillId="0" borderId="0"/>
    <xf numFmtId="0" fontId="7" fillId="0" borderId="0"/>
    <xf numFmtId="44" fontId="6" fillId="0" borderId="0"/>
    <xf numFmtId="0" fontId="12" fillId="3" borderId="0"/>
    <xf numFmtId="0" fontId="12" fillId="4" borderId="0"/>
    <xf numFmtId="0" fontId="12" fillId="5" borderId="0"/>
  </cellStyleXfs>
  <cellXfs count="225">
    <xf numFmtId="0" fontId="0" fillId="0" borderId="0" xfId="0"/>
    <xf numFmtId="0" fontId="2" fillId="0" borderId="0" xfId="0" applyFont="1" applyAlignment="1">
      <alignment horizontal="left" indent="4"/>
    </xf>
    <xf numFmtId="0" fontId="2" fillId="0" borderId="0" xfId="0" applyFont="1" applyAlignment="1">
      <alignment horizontal="left" indent="6"/>
    </xf>
    <xf numFmtId="0" fontId="2" fillId="0" borderId="0" xfId="0" applyFont="1" applyAlignment="1">
      <alignment horizontal="left" indent="7"/>
    </xf>
    <xf numFmtId="0" fontId="2" fillId="0" borderId="0" xfId="0" applyFont="1" applyAlignment="1">
      <alignment horizontal="left" indent="10"/>
    </xf>
    <xf numFmtId="0" fontId="2" fillId="0" borderId="0" xfId="0" applyFont="1" applyAlignment="1">
      <alignment horizontal="left" indent="8"/>
    </xf>
    <xf numFmtId="0" fontId="3" fillId="0" borderId="0" xfId="0" applyFont="1"/>
    <xf numFmtId="0" fontId="0" fillId="0" borderId="0" xfId="0" applyAlignment="1">
      <alignment vertical="top" wrapText="1"/>
    </xf>
    <xf numFmtId="0" fontId="0" fillId="0" borderId="0" xfId="0" applyAlignment="1">
      <alignment horizontal="center"/>
    </xf>
    <xf numFmtId="0" fontId="4" fillId="0" borderId="0" xfId="0" applyFont="1"/>
    <xf numFmtId="0" fontId="5" fillId="2" borderId="0" xfId="0" applyFont="1" applyFill="1" applyAlignment="1">
      <alignment vertical="top"/>
    </xf>
    <xf numFmtId="164" fontId="0" fillId="0" borderId="0" xfId="1" applyNumberFormat="1" applyFont="1"/>
    <xf numFmtId="9" fontId="0" fillId="0" borderId="0" xfId="2" applyFont="1"/>
    <xf numFmtId="0" fontId="1" fillId="0" borderId="0" xfId="0" applyFont="1" applyAlignment="1">
      <alignment vertical="top" wrapText="1"/>
    </xf>
    <xf numFmtId="0" fontId="1" fillId="0" borderId="4" xfId="0" applyFont="1" applyBorder="1" applyAlignment="1">
      <alignment vertical="top" wrapText="1"/>
    </xf>
    <xf numFmtId="0" fontId="3" fillId="0" borderId="0" xfId="0" applyFont="1" applyAlignment="1">
      <alignment vertical="top" wrapText="1"/>
    </xf>
    <xf numFmtId="0" fontId="7" fillId="0" borderId="0" xfId="3"/>
    <xf numFmtId="0" fontId="0" fillId="0" borderId="0" xfId="0" applyAlignment="1">
      <alignment wrapText="1"/>
    </xf>
    <xf numFmtId="0" fontId="5" fillId="2" borderId="0" xfId="0" applyFont="1" applyFill="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7" fillId="0" borderId="0" xfId="3" applyAlignment="1">
      <alignment horizontal="left" vertical="top"/>
    </xf>
    <xf numFmtId="0" fontId="8" fillId="0" borderId="0" xfId="0" applyFont="1" applyAlignment="1">
      <alignment horizontal="left" vertical="top" wrapText="1"/>
    </xf>
    <xf numFmtId="49" fontId="0" fillId="0" borderId="0" xfId="0" applyNumberFormat="1" applyAlignment="1">
      <alignment horizontal="left" vertical="top" wrapText="1"/>
    </xf>
    <xf numFmtId="0" fontId="1" fillId="0" borderId="7" xfId="0" applyFont="1" applyBorder="1"/>
    <xf numFmtId="0" fontId="1" fillId="0" borderId="8" xfId="0" applyFont="1" applyBorder="1"/>
    <xf numFmtId="0" fontId="1" fillId="0" borderId="9" xfId="0" applyFont="1" applyBorder="1"/>
    <xf numFmtId="0" fontId="0" fillId="0" borderId="10" xfId="0" applyBorder="1"/>
    <xf numFmtId="165" fontId="0" fillId="0" borderId="0" xfId="4" applyNumberFormat="1" applyFont="1"/>
    <xf numFmtId="164" fontId="0" fillId="0" borderId="11" xfId="1" applyNumberFormat="1" applyFont="1" applyBorder="1"/>
    <xf numFmtId="0" fontId="0" fillId="0" borderId="10" xfId="0" applyBorder="1" applyAlignment="1">
      <alignment horizontal="left" indent="1"/>
    </xf>
    <xf numFmtId="0" fontId="0" fillId="0" borderId="10" xfId="0" applyBorder="1" applyAlignment="1">
      <alignment horizontal="left" indent="2"/>
    </xf>
    <xf numFmtId="0" fontId="0" fillId="0" borderId="10" xfId="0" applyBorder="1" applyAlignment="1">
      <alignment horizontal="left" indent="4"/>
    </xf>
    <xf numFmtId="0" fontId="0" fillId="0" borderId="10" xfId="0" applyBorder="1" applyAlignment="1">
      <alignment horizontal="left" indent="6"/>
    </xf>
    <xf numFmtId="0" fontId="0" fillId="0" borderId="10" xfId="0" applyBorder="1" applyAlignment="1">
      <alignment horizontal="left" indent="7"/>
    </xf>
    <xf numFmtId="0" fontId="0" fillId="6" borderId="10" xfId="0" applyFill="1" applyBorder="1" applyAlignment="1">
      <alignment horizontal="left" indent="8"/>
    </xf>
    <xf numFmtId="164" fontId="0" fillId="6" borderId="0" xfId="1" applyNumberFormat="1" applyFont="1" applyFill="1"/>
    <xf numFmtId="165" fontId="0" fillId="6" borderId="0" xfId="4" applyNumberFormat="1" applyFont="1" applyFill="1"/>
    <xf numFmtId="0" fontId="0" fillId="0" borderId="10" xfId="0" applyBorder="1" applyAlignment="1">
      <alignment horizontal="left" indent="10"/>
    </xf>
    <xf numFmtId="0" fontId="0" fillId="0" borderId="10" xfId="0" applyBorder="1" applyAlignment="1">
      <alignment horizontal="left" indent="8"/>
    </xf>
    <xf numFmtId="0" fontId="0" fillId="0" borderId="12" xfId="0" applyBorder="1" applyAlignment="1">
      <alignment horizontal="left" indent="10"/>
    </xf>
    <xf numFmtId="164" fontId="0" fillId="0" borderId="13" xfId="1" applyNumberFormat="1" applyFont="1" applyBorder="1"/>
    <xf numFmtId="9" fontId="0" fillId="0" borderId="13" xfId="2" applyFont="1" applyBorder="1"/>
    <xf numFmtId="165" fontId="0" fillId="0" borderId="13" xfId="4" applyNumberFormat="1" applyFont="1" applyBorder="1"/>
    <xf numFmtId="3" fontId="1" fillId="0" borderId="0" xfId="0" applyNumberFormat="1" applyFont="1"/>
    <xf numFmtId="164" fontId="0" fillId="0" borderId="0" xfId="0" applyNumberFormat="1"/>
    <xf numFmtId="3" fontId="1" fillId="0" borderId="0" xfId="0" applyNumberFormat="1" applyFont="1" applyAlignment="1">
      <alignment horizontal="left" wrapText="1" indent="2"/>
    </xf>
    <xf numFmtId="3" fontId="0" fillId="0" borderId="0" xfId="0" applyNumberFormat="1"/>
    <xf numFmtId="3" fontId="1" fillId="0" borderId="0" xfId="0" applyNumberFormat="1" applyFont="1" applyAlignment="1">
      <alignment horizontal="left" indent="2"/>
    </xf>
    <xf numFmtId="4" fontId="0" fillId="0" borderId="0" xfId="0" applyNumberFormat="1"/>
    <xf numFmtId="3" fontId="9" fillId="0" borderId="0" xfId="0" applyNumberFormat="1" applyFont="1"/>
    <xf numFmtId="9" fontId="9" fillId="0" borderId="0" xfId="2" applyFont="1"/>
    <xf numFmtId="0" fontId="10" fillId="0" borderId="0" xfId="0" applyFont="1"/>
    <xf numFmtId="0" fontId="11" fillId="7" borderId="15" xfId="0" applyFont="1" applyFill="1" applyBorder="1" applyAlignment="1">
      <alignment vertical="center" wrapText="1"/>
    </xf>
    <xf numFmtId="0" fontId="11" fillId="7" borderId="16" xfId="0" applyFont="1" applyFill="1" applyBorder="1" applyAlignment="1">
      <alignment vertical="center" wrapText="1"/>
    </xf>
    <xf numFmtId="0" fontId="11" fillId="7" borderId="17" xfId="0" applyFont="1" applyFill="1" applyBorder="1" applyAlignment="1">
      <alignment vertical="center" wrapText="1"/>
    </xf>
    <xf numFmtId="0" fontId="12" fillId="0" borderId="18" xfId="0" applyFont="1" applyBorder="1" applyAlignment="1">
      <alignment vertical="top" wrapText="1"/>
    </xf>
    <xf numFmtId="0" fontId="12" fillId="0" borderId="19" xfId="0" applyFont="1" applyBorder="1" applyAlignment="1">
      <alignment vertical="top" wrapText="1"/>
    </xf>
    <xf numFmtId="0" fontId="12" fillId="0" borderId="20" xfId="0" applyFont="1" applyBorder="1" applyAlignment="1">
      <alignment vertical="top" wrapText="1"/>
    </xf>
    <xf numFmtId="0" fontId="12" fillId="0" borderId="16" xfId="0" applyFont="1" applyBorder="1" applyAlignment="1">
      <alignment vertical="top" wrapText="1"/>
    </xf>
    <xf numFmtId="0" fontId="12" fillId="6" borderId="19" xfId="0" applyFont="1" applyFill="1" applyBorder="1" applyAlignment="1">
      <alignment vertical="top" wrapText="1"/>
    </xf>
    <xf numFmtId="0" fontId="13" fillId="0" borderId="0" xfId="0" applyFont="1"/>
    <xf numFmtId="0" fontId="12" fillId="8" borderId="19" xfId="0" applyFont="1" applyFill="1" applyBorder="1" applyAlignment="1">
      <alignment vertical="top" wrapText="1"/>
    </xf>
    <xf numFmtId="0" fontId="0" fillId="0" borderId="0" xfId="0" applyAlignment="1">
      <alignment vertical="top"/>
    </xf>
    <xf numFmtId="0" fontId="12" fillId="0" borderId="21" xfId="0" applyFont="1" applyBorder="1" applyAlignment="1">
      <alignment vertical="top" wrapText="1"/>
    </xf>
    <xf numFmtId="0" fontId="12" fillId="0" borderId="22" xfId="0" applyFont="1" applyBorder="1" applyAlignment="1">
      <alignment vertical="top" wrapText="1"/>
    </xf>
    <xf numFmtId="0" fontId="12" fillId="0" borderId="23" xfId="0" applyFont="1" applyBorder="1" applyAlignment="1">
      <alignment vertical="top" wrapText="1"/>
    </xf>
    <xf numFmtId="0" fontId="2" fillId="0" borderId="3" xfId="0" applyFont="1" applyBorder="1" applyAlignment="1">
      <alignment horizontal="left" indent="3"/>
    </xf>
    <xf numFmtId="0" fontId="2" fillId="0" borderId="3" xfId="0" applyFont="1" applyBorder="1" applyAlignment="1">
      <alignment horizontal="left" indent="1"/>
    </xf>
    <xf numFmtId="0" fontId="2" fillId="0" borderId="5" xfId="0" applyFont="1" applyBorder="1" applyAlignment="1">
      <alignment horizontal="left" indent="3"/>
    </xf>
    <xf numFmtId="166" fontId="0" fillId="0" borderId="0" xfId="0" applyNumberFormat="1"/>
    <xf numFmtId="167" fontId="0" fillId="0" borderId="0" xfId="4" applyNumberFormat="1" applyFont="1"/>
    <xf numFmtId="168" fontId="12" fillId="0" borderId="0" xfId="0" applyNumberFormat="1" applyFont="1" applyAlignment="1">
      <alignment horizontal="right"/>
    </xf>
    <xf numFmtId="0" fontId="14" fillId="2" borderId="0" xfId="0" applyFont="1" applyFill="1" applyAlignment="1">
      <alignment vertical="top"/>
    </xf>
    <xf numFmtId="0" fontId="0" fillId="0" borderId="0" xfId="0" applyAlignment="1">
      <alignment horizontal="right"/>
    </xf>
    <xf numFmtId="9" fontId="0" fillId="0" borderId="0" xfId="2" applyFont="1" applyAlignment="1">
      <alignment horizontal="right"/>
    </xf>
    <xf numFmtId="0" fontId="15" fillId="0" borderId="0" xfId="0" applyFont="1"/>
    <xf numFmtId="0" fontId="16" fillId="0" borderId="0" xfId="0" applyFont="1"/>
    <xf numFmtId="3" fontId="16" fillId="0" borderId="0" xfId="0" applyNumberFormat="1" applyFont="1"/>
    <xf numFmtId="0" fontId="17" fillId="0" borderId="0" xfId="0" applyFont="1"/>
    <xf numFmtId="0" fontId="18" fillId="0" borderId="0" xfId="0" applyFont="1"/>
    <xf numFmtId="3" fontId="18" fillId="0" borderId="0" xfId="0" applyNumberFormat="1" applyFont="1"/>
    <xf numFmtId="169" fontId="0" fillId="0" borderId="0" xfId="0" applyNumberFormat="1"/>
    <xf numFmtId="166" fontId="0" fillId="0" borderId="7" xfId="0" applyNumberFormat="1" applyBorder="1"/>
    <xf numFmtId="166" fontId="0" fillId="0" borderId="8" xfId="0" applyNumberFormat="1" applyBorder="1"/>
    <xf numFmtId="9" fontId="0" fillId="0" borderId="8" xfId="2" applyFont="1" applyBorder="1"/>
    <xf numFmtId="167" fontId="0" fillId="0" borderId="8" xfId="4" applyNumberFormat="1" applyFont="1" applyBorder="1"/>
    <xf numFmtId="164" fontId="0" fillId="0" borderId="8" xfId="1" applyNumberFormat="1" applyFont="1" applyBorder="1"/>
    <xf numFmtId="169" fontId="0" fillId="0" borderId="9" xfId="0" applyNumberFormat="1" applyBorder="1"/>
    <xf numFmtId="166" fontId="0" fillId="0" borderId="10" xfId="0" applyNumberFormat="1" applyBorder="1"/>
    <xf numFmtId="169" fontId="0" fillId="0" borderId="11" xfId="0" applyNumberFormat="1" applyBorder="1"/>
    <xf numFmtId="166" fontId="0" fillId="0" borderId="12" xfId="0" applyNumberFormat="1" applyBorder="1"/>
    <xf numFmtId="166" fontId="0" fillId="0" borderId="13" xfId="0" applyNumberFormat="1" applyBorder="1"/>
    <xf numFmtId="167" fontId="0" fillId="0" borderId="13" xfId="4" applyNumberFormat="1" applyFont="1" applyBorder="1"/>
    <xf numFmtId="169" fontId="0" fillId="0" borderId="14" xfId="0" applyNumberFormat="1" applyBorder="1"/>
    <xf numFmtId="165" fontId="0" fillId="0" borderId="8" xfId="4" applyNumberFormat="1" applyFont="1" applyBorder="1"/>
    <xf numFmtId="0" fontId="0" fillId="0" borderId="8" xfId="0" applyBorder="1" applyAlignment="1">
      <alignment horizontal="right"/>
    </xf>
    <xf numFmtId="0" fontId="0" fillId="0" borderId="11" xfId="0" applyBorder="1" applyAlignment="1">
      <alignment horizontal="right"/>
    </xf>
    <xf numFmtId="0" fontId="0" fillId="0" borderId="13" xfId="0" applyBorder="1" applyAlignment="1">
      <alignment horizontal="right"/>
    </xf>
    <xf numFmtId="169" fontId="0" fillId="0" borderId="8" xfId="0" applyNumberFormat="1" applyBorder="1"/>
    <xf numFmtId="169" fontId="0" fillId="0" borderId="13" xfId="0" applyNumberFormat="1" applyBorder="1"/>
    <xf numFmtId="0" fontId="2" fillId="0" borderId="3" xfId="0" applyFont="1" applyBorder="1"/>
    <xf numFmtId="168" fontId="0" fillId="0" borderId="8" xfId="1" applyNumberFormat="1" applyFont="1" applyBorder="1" applyAlignment="1">
      <alignment horizontal="right"/>
    </xf>
    <xf numFmtId="168" fontId="0" fillId="0" borderId="0" xfId="0" applyNumberFormat="1" applyAlignment="1">
      <alignment horizontal="right"/>
    </xf>
    <xf numFmtId="168" fontId="0" fillId="0" borderId="13" xfId="0" applyNumberFormat="1" applyBorder="1" applyAlignment="1">
      <alignment horizontal="right"/>
    </xf>
    <xf numFmtId="168" fontId="0" fillId="0" borderId="8" xfId="0" applyNumberFormat="1" applyBorder="1" applyAlignment="1">
      <alignment horizontal="right"/>
    </xf>
    <xf numFmtId="170" fontId="0" fillId="0" borderId="8" xfId="0" applyNumberFormat="1" applyBorder="1" applyAlignment="1">
      <alignment horizontal="right"/>
    </xf>
    <xf numFmtId="170" fontId="0" fillId="0" borderId="0" xfId="0" applyNumberFormat="1" applyAlignment="1">
      <alignment horizontal="right"/>
    </xf>
    <xf numFmtId="171" fontId="0" fillId="0" borderId="8" xfId="4" applyNumberFormat="1" applyFont="1" applyBorder="1"/>
    <xf numFmtId="171" fontId="0" fillId="0" borderId="0" xfId="4" applyNumberFormat="1" applyFont="1"/>
    <xf numFmtId="171" fontId="0" fillId="0" borderId="13" xfId="4" applyNumberFormat="1" applyFont="1" applyBorder="1"/>
    <xf numFmtId="171" fontId="0" fillId="0" borderId="0" xfId="4" applyNumberFormat="1" applyFont="1" applyAlignment="1">
      <alignment horizontal="right"/>
    </xf>
    <xf numFmtId="168" fontId="12" fillId="0" borderId="26" xfId="0" applyNumberFormat="1" applyFont="1" applyBorder="1" applyAlignment="1">
      <alignment horizontal="right"/>
    </xf>
    <xf numFmtId="164" fontId="0" fillId="0" borderId="6" xfId="1" applyNumberFormat="1" applyFont="1" applyBorder="1"/>
    <xf numFmtId="9" fontId="0" fillId="0" borderId="6" xfId="2" applyFont="1" applyBorder="1"/>
    <xf numFmtId="170" fontId="12" fillId="0" borderId="6" xfId="0" applyNumberFormat="1" applyFont="1" applyBorder="1" applyAlignment="1">
      <alignment horizontal="right"/>
    </xf>
    <xf numFmtId="165" fontId="0" fillId="0" borderId="6" xfId="4" applyNumberFormat="1" applyFont="1" applyBorder="1"/>
    <xf numFmtId="0" fontId="0" fillId="0" borderId="6" xfId="0" applyBorder="1"/>
    <xf numFmtId="169" fontId="0" fillId="0" borderId="27" xfId="0" applyNumberFormat="1" applyBorder="1"/>
    <xf numFmtId="168" fontId="12" fillId="0" borderId="3" xfId="0" applyNumberFormat="1" applyFont="1" applyBorder="1" applyAlignment="1">
      <alignment horizontal="right"/>
    </xf>
    <xf numFmtId="0" fontId="0" fillId="0" borderId="4" xfId="0" applyBorder="1" applyAlignment="1">
      <alignment horizontal="right"/>
    </xf>
    <xf numFmtId="170" fontId="12" fillId="0" borderId="0" xfId="0" applyNumberFormat="1" applyFont="1" applyAlignment="1">
      <alignment horizontal="right"/>
    </xf>
    <xf numFmtId="169" fontId="0" fillId="0" borderId="4" xfId="0" applyNumberFormat="1" applyBorder="1"/>
    <xf numFmtId="168" fontId="12" fillId="0" borderId="5" xfId="0" applyNumberFormat="1" applyFont="1" applyBorder="1" applyAlignment="1">
      <alignment horizontal="right"/>
    </xf>
    <xf numFmtId="0" fontId="0" fillId="0" borderId="25" xfId="0" applyBorder="1"/>
    <xf numFmtId="168" fontId="12" fillId="0" borderId="25" xfId="0" applyNumberFormat="1" applyFont="1" applyBorder="1" applyAlignment="1">
      <alignment horizontal="right"/>
    </xf>
    <xf numFmtId="165" fontId="0" fillId="0" borderId="25" xfId="4" applyNumberFormat="1" applyFont="1" applyBorder="1"/>
    <xf numFmtId="169" fontId="0" fillId="0" borderId="28" xfId="0" applyNumberFormat="1" applyBorder="1"/>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9" fontId="0" fillId="0" borderId="8" xfId="0" applyNumberFormat="1" applyBorder="1" applyAlignment="1">
      <alignment horizontal="right"/>
    </xf>
    <xf numFmtId="9" fontId="0" fillId="0" borderId="0" xfId="0" applyNumberFormat="1" applyAlignment="1">
      <alignment horizontal="right"/>
    </xf>
    <xf numFmtId="9" fontId="0" fillId="0" borderId="25" xfId="0" applyNumberFormat="1" applyBorder="1" applyAlignment="1">
      <alignment horizontal="right"/>
    </xf>
    <xf numFmtId="0" fontId="7" fillId="0" borderId="0" xfId="3" applyAlignment="1">
      <alignment horizontal="left" vertical="top" wrapText="1"/>
    </xf>
    <xf numFmtId="0" fontId="19" fillId="0" borderId="0" xfId="0" applyFont="1"/>
    <xf numFmtId="0" fontId="0" fillId="6" borderId="0" xfId="0" applyFill="1" applyAlignment="1">
      <alignment horizontal="left" vertical="top" wrapText="1"/>
    </xf>
    <xf numFmtId="0" fontId="0" fillId="8" borderId="0" xfId="0" applyFill="1" applyAlignment="1">
      <alignment horizontal="left" vertical="top" wrapText="1"/>
    </xf>
    <xf numFmtId="0" fontId="8" fillId="6" borderId="0" xfId="0" applyFont="1" applyFill="1" applyAlignment="1">
      <alignment horizontal="left" vertical="top" wrapText="1"/>
    </xf>
    <xf numFmtId="0" fontId="1" fillId="10" borderId="0" xfId="0" applyFont="1" applyFill="1"/>
    <xf numFmtId="0" fontId="1" fillId="11" borderId="0" xfId="0" applyFont="1" applyFill="1"/>
    <xf numFmtId="0" fontId="1" fillId="12" borderId="0" xfId="0" applyFont="1" applyFill="1"/>
    <xf numFmtId="0" fontId="21" fillId="8" borderId="0" xfId="0" applyFont="1" applyFill="1" applyAlignment="1">
      <alignment horizontal="left" vertical="top" wrapText="1"/>
    </xf>
    <xf numFmtId="0" fontId="21" fillId="6" borderId="0" xfId="0" applyFont="1" applyFill="1" applyAlignment="1">
      <alignment horizontal="left" vertical="top" wrapText="1"/>
    </xf>
    <xf numFmtId="0" fontId="1" fillId="10" borderId="0" xfId="0" applyFont="1" applyFill="1" applyAlignment="1">
      <alignment horizontal="left" vertical="top" wrapText="1"/>
    </xf>
    <xf numFmtId="0" fontId="22" fillId="10" borderId="0" xfId="0" applyFont="1" applyFill="1" applyAlignment="1">
      <alignment horizontal="left" vertical="top"/>
    </xf>
    <xf numFmtId="0" fontId="23" fillId="0" borderId="0" xfId="0" applyFont="1"/>
    <xf numFmtId="0" fontId="24" fillId="0" borderId="0" xfId="0" applyFont="1"/>
    <xf numFmtId="0" fontId="25" fillId="0" borderId="0" xfId="0" applyFont="1"/>
    <xf numFmtId="0" fontId="1" fillId="8" borderId="0" xfId="0" applyFont="1" applyFill="1" applyAlignment="1">
      <alignment horizontal="left" vertical="top" wrapText="1"/>
    </xf>
    <xf numFmtId="171" fontId="0" fillId="0" borderId="0" xfId="0" applyNumberFormat="1"/>
    <xf numFmtId="171" fontId="1" fillId="0" borderId="8" xfId="0" applyNumberFormat="1" applyFont="1" applyBorder="1"/>
    <xf numFmtId="171" fontId="0" fillId="0" borderId="0" xfId="1" applyNumberFormat="1" applyFont="1"/>
    <xf numFmtId="171" fontId="0" fillId="0" borderId="25" xfId="1" applyNumberFormat="1" applyFont="1" applyBorder="1"/>
    <xf numFmtId="164" fontId="0" fillId="0" borderId="29" xfId="1" applyNumberFormat="1" applyFont="1" applyBorder="1"/>
    <xf numFmtId="0" fontId="1" fillId="0" borderId="10" xfId="0" applyFont="1" applyBorder="1" applyAlignment="1">
      <alignment horizontal="left" indent="1"/>
    </xf>
    <xf numFmtId="164" fontId="1" fillId="0" borderId="0" xfId="1" applyNumberFormat="1" applyFont="1"/>
    <xf numFmtId="9" fontId="1" fillId="0" borderId="0" xfId="2" applyFont="1"/>
    <xf numFmtId="165" fontId="1" fillId="0" borderId="0" xfId="4" applyNumberFormat="1" applyFont="1"/>
    <xf numFmtId="171" fontId="1" fillId="0" borderId="0" xfId="1" applyNumberFormat="1" applyFont="1"/>
    <xf numFmtId="164" fontId="1" fillId="0" borderId="11" xfId="1" applyNumberFormat="1" applyFont="1" applyBorder="1"/>
    <xf numFmtId="0" fontId="1" fillId="6" borderId="10" xfId="0" applyFont="1" applyFill="1" applyBorder="1" applyAlignment="1">
      <alignment horizontal="left" indent="4"/>
    </xf>
    <xf numFmtId="164" fontId="1" fillId="6" borderId="0" xfId="1" applyNumberFormat="1" applyFont="1" applyFill="1"/>
    <xf numFmtId="9" fontId="1" fillId="6" borderId="0" xfId="2" applyFont="1" applyFill="1"/>
    <xf numFmtId="165" fontId="1" fillId="6" borderId="0" xfId="4" applyNumberFormat="1" applyFont="1" applyFill="1"/>
    <xf numFmtId="171" fontId="1" fillId="6" borderId="0" xfId="1" applyNumberFormat="1" applyFont="1" applyFill="1"/>
    <xf numFmtId="164" fontId="1" fillId="6" borderId="11" xfId="1" applyNumberFormat="1" applyFont="1" applyFill="1" applyBorder="1"/>
    <xf numFmtId="0" fontId="26"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wrapText="1"/>
    </xf>
    <xf numFmtId="0" fontId="19" fillId="6" borderId="0" xfId="0" applyFont="1" applyFill="1"/>
    <xf numFmtId="0" fontId="7" fillId="6" borderId="0" xfId="3" applyFill="1" applyAlignment="1">
      <alignment horizontal="left" vertical="top"/>
    </xf>
    <xf numFmtId="0" fontId="20" fillId="2" borderId="0" xfId="0" applyFont="1" applyFill="1" applyAlignment="1">
      <alignment vertical="top" wrapText="1"/>
    </xf>
    <xf numFmtId="0" fontId="0" fillId="6"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168" fontId="12" fillId="6" borderId="3" xfId="0" applyNumberFormat="1" applyFont="1" applyFill="1" applyBorder="1" applyAlignment="1">
      <alignment horizontal="right"/>
    </xf>
    <xf numFmtId="166" fontId="0" fillId="6" borderId="10" xfId="0" applyNumberFormat="1" applyFill="1" applyBorder="1"/>
    <xf numFmtId="168" fontId="0" fillId="6" borderId="0" xfId="0" applyNumberFormat="1" applyFill="1" applyAlignment="1">
      <alignment horizontal="right"/>
    </xf>
    <xf numFmtId="0" fontId="28" fillId="0" borderId="0" xfId="0" applyFont="1" applyAlignment="1">
      <alignment vertical="top" wrapText="1"/>
    </xf>
    <xf numFmtId="0" fontId="27" fillId="0" borderId="0" xfId="0" applyFont="1"/>
    <xf numFmtId="0" fontId="14" fillId="2" borderId="0" xfId="0" applyFont="1" applyFill="1" applyAlignment="1">
      <alignment horizontal="center" vertical="center" wrapText="1"/>
    </xf>
    <xf numFmtId="0" fontId="29" fillId="0" borderId="0" xfId="0" applyFont="1"/>
    <xf numFmtId="0" fontId="28" fillId="0" borderId="34" xfId="0" applyFont="1" applyBorder="1" applyAlignment="1">
      <alignment vertical="top" wrapText="1"/>
    </xf>
    <xf numFmtId="0" fontId="28" fillId="13" borderId="34" xfId="0" applyFont="1" applyFill="1" applyBorder="1" applyAlignment="1">
      <alignment vertical="top" wrapText="1"/>
    </xf>
    <xf numFmtId="0" fontId="28" fillId="14" borderId="34" xfId="0" applyFont="1" applyFill="1" applyBorder="1" applyAlignment="1">
      <alignment vertical="top" wrapText="1"/>
    </xf>
    <xf numFmtId="0" fontId="28" fillId="15" borderId="34" xfId="0" applyFont="1" applyFill="1" applyBorder="1" applyAlignment="1">
      <alignment vertical="top" wrapText="1"/>
    </xf>
    <xf numFmtId="0" fontId="28" fillId="16" borderId="34" xfId="0" applyFont="1" applyFill="1" applyBorder="1" applyAlignment="1">
      <alignment vertical="top" wrapText="1"/>
    </xf>
    <xf numFmtId="0" fontId="28" fillId="0" borderId="32" xfId="0" applyFont="1" applyBorder="1" applyAlignment="1">
      <alignment vertical="top" wrapText="1"/>
    </xf>
    <xf numFmtId="0" fontId="28" fillId="0" borderId="35" xfId="0" applyFont="1" applyBorder="1" applyAlignment="1">
      <alignment vertical="top" wrapText="1"/>
    </xf>
    <xf numFmtId="0" fontId="28" fillId="0" borderId="33" xfId="0" applyFont="1" applyBorder="1" applyAlignment="1">
      <alignment vertical="top" wrapText="1"/>
    </xf>
    <xf numFmtId="0" fontId="28" fillId="13" borderId="36" xfId="0" applyFont="1" applyFill="1" applyBorder="1" applyAlignment="1">
      <alignment vertical="top" wrapText="1"/>
    </xf>
    <xf numFmtId="0" fontId="28" fillId="0" borderId="36" xfId="0" applyFont="1" applyBorder="1" applyAlignment="1">
      <alignment vertical="top" wrapText="1"/>
    </xf>
    <xf numFmtId="0" fontId="28" fillId="16" borderId="36" xfId="0" applyFont="1" applyFill="1" applyBorder="1" applyAlignment="1">
      <alignment vertical="top" wrapText="1"/>
    </xf>
    <xf numFmtId="0" fontId="28" fillId="0" borderId="37" xfId="0" applyFont="1" applyBorder="1" applyAlignment="1">
      <alignment vertical="top" wrapText="1"/>
    </xf>
    <xf numFmtId="0" fontId="28" fillId="17" borderId="32" xfId="0" applyFont="1" applyFill="1" applyBorder="1" applyAlignment="1">
      <alignment vertical="top" wrapText="1"/>
    </xf>
    <xf numFmtId="0" fontId="28" fillId="17" borderId="34" xfId="0" applyFont="1" applyFill="1" applyBorder="1" applyAlignment="1">
      <alignment vertical="top" wrapText="1"/>
    </xf>
    <xf numFmtId="0" fontId="28" fillId="17" borderId="35" xfId="0" applyFont="1" applyFill="1" applyBorder="1" applyAlignment="1">
      <alignment vertical="top" wrapText="1"/>
    </xf>
    <xf numFmtId="0" fontId="32" fillId="0" borderId="0" xfId="0" applyFont="1"/>
    <xf numFmtId="0" fontId="33" fillId="0" borderId="0" xfId="0" applyFont="1"/>
    <xf numFmtId="0" fontId="31" fillId="0" borderId="0" xfId="0" applyFont="1"/>
    <xf numFmtId="0" fontId="28" fillId="6" borderId="32" xfId="0" applyFont="1" applyFill="1" applyBorder="1" applyAlignment="1">
      <alignment vertical="top" wrapText="1"/>
    </xf>
    <xf numFmtId="0" fontId="28" fillId="6" borderId="34" xfId="0" applyFont="1" applyFill="1" applyBorder="1" applyAlignment="1">
      <alignment vertical="top" wrapText="1"/>
    </xf>
    <xf numFmtId="0" fontId="28" fillId="0" borderId="38" xfId="0" applyFont="1" applyBorder="1" applyAlignment="1">
      <alignment vertical="top" wrapText="1"/>
    </xf>
    <xf numFmtId="0" fontId="1" fillId="0" borderId="0" xfId="0" applyFont="1"/>
    <xf numFmtId="9" fontId="0" fillId="0" borderId="25" xfId="2" applyFont="1" applyBorder="1"/>
    <xf numFmtId="0" fontId="30" fillId="0" borderId="0" xfId="0" applyFont="1" applyAlignment="1">
      <alignment horizontal="left" vertical="top" wrapText="1"/>
    </xf>
    <xf numFmtId="0" fontId="0" fillId="0" borderId="0" xfId="0" applyAlignment="1">
      <alignment horizontal="left" vertical="top" wrapText="1"/>
    </xf>
    <xf numFmtId="0" fontId="6" fillId="4" borderId="6" xfId="6" applyFont="1" applyBorder="1" applyAlignment="1">
      <alignment horizontal="center"/>
    </xf>
    <xf numFmtId="0" fontId="6" fillId="5" borderId="30" xfId="7" applyFont="1" applyBorder="1" applyAlignment="1">
      <alignment horizontal="center"/>
    </xf>
    <xf numFmtId="0" fontId="1" fillId="0" borderId="30" xfId="0" applyFont="1" applyBorder="1" applyAlignment="1">
      <alignment horizontal="center" vertical="center"/>
    </xf>
    <xf numFmtId="0" fontId="6" fillId="3" borderId="30" xfId="5" applyFont="1" applyBorder="1" applyAlignment="1">
      <alignment horizontal="center"/>
    </xf>
    <xf numFmtId="0" fontId="0" fillId="10" borderId="0" xfId="0" applyFill="1" applyAlignment="1">
      <alignment horizontal="left" vertical="top" wrapText="1"/>
    </xf>
    <xf numFmtId="0" fontId="0" fillId="0" borderId="30" xfId="0" applyBorder="1" applyAlignment="1">
      <alignment horizontal="center"/>
    </xf>
    <xf numFmtId="0" fontId="28" fillId="0" borderId="0" xfId="0" applyFont="1" applyAlignment="1">
      <alignment vertical="top" wrapText="1"/>
    </xf>
    <xf numFmtId="0" fontId="0" fillId="0" borderId="0" xfId="0" applyAlignment="1"/>
    <xf numFmtId="0" fontId="0" fillId="0" borderId="1" xfId="0" applyBorder="1" applyAlignment="1"/>
    <xf numFmtId="0" fontId="0" fillId="0" borderId="2" xfId="0" applyBorder="1" applyAlignment="1"/>
    <xf numFmtId="0" fontId="0" fillId="0" borderId="6" xfId="0" applyBorder="1" applyAlignment="1"/>
    <xf numFmtId="0" fontId="0" fillId="0" borderId="24" xfId="0" applyBorder="1" applyAlignment="1"/>
    <xf numFmtId="0" fontId="30" fillId="0" borderId="0" xfId="0" applyFont="1" applyAlignment="1"/>
    <xf numFmtId="0" fontId="33" fillId="0" borderId="34" xfId="0" applyFont="1" applyBorder="1" applyAlignment="1">
      <alignment horizontal="center" vertical="center" wrapText="1"/>
    </xf>
    <xf numFmtId="0" fontId="28" fillId="0" borderId="34" xfId="0" applyFont="1" applyBorder="1" applyAlignment="1">
      <alignment vertical="top" wrapText="1"/>
    </xf>
    <xf numFmtId="0" fontId="0" fillId="0" borderId="31" xfId="0" applyBorder="1" applyAlignment="1"/>
    <xf numFmtId="0" fontId="0" fillId="0" borderId="32" xfId="0" applyBorder="1" applyAlignment="1"/>
  </cellXfs>
  <cellStyles count="8">
    <cellStyle name="20% - Accent1" xfId="5" builtinId="30"/>
    <cellStyle name="20% - Accent5" xfId="6" builtinId="46"/>
    <cellStyle name="20% - Accent6" xfId="7" builtinId="50"/>
    <cellStyle name="Comma" xfId="1" builtinId="3"/>
    <cellStyle name="Currency" xfId="4" builtinId="4"/>
    <cellStyle name="Hyperlink" xfId="3" builtinId="8"/>
    <cellStyle name="Normal" xfId="0" builtinId="0"/>
    <cellStyle name="Percent" xfId="2" builtinId="5"/>
  </cellStyles>
  <dxfs count="48">
    <dxf>
      <font>
        <strike val="0"/>
        <condense val="0"/>
        <extend val="0"/>
        <outline val="0"/>
        <shadow val="0"/>
        <vertAlign val="baseline"/>
        <sz val="11"/>
        <color theme="1"/>
        <name val="Aptos Narrow"/>
        <scheme val="minor"/>
      </font>
      <alignment horizontal="general" vertical="top" wrapText="1"/>
      <border>
        <left style="thin">
          <color rgb="FFD9D9D9"/>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style="thin">
          <color rgb="FFD9D9D9"/>
        </left>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style="thin">
          <color rgb="FFD9D9D9"/>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style="thin">
          <color rgb="FFD9D9D9"/>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style="thin">
          <color rgb="FFD9D9D9"/>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style="thin">
          <color rgb="FFD9D9D9"/>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style="thin">
          <color rgb="FFD9D9D9"/>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style="thin">
          <color rgb="FFD9D9D9"/>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style="thin">
          <color rgb="FFD9D9D9"/>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style="thin">
          <color rgb="FFD9D9D9"/>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style="thin">
          <color rgb="FFD9D9D9"/>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border>
        <left/>
        <right style="thin">
          <color rgb="FFD9D9D9"/>
        </right>
        <top style="thin">
          <color rgb="FFD9D9D9"/>
        </top>
        <bottom style="thin">
          <color rgb="FFD9D9D9"/>
        </bottom>
        <vertical/>
        <horizontal/>
      </border>
    </dxf>
    <dxf>
      <font>
        <strike val="0"/>
        <condense val="0"/>
        <extend val="0"/>
        <outline val="0"/>
        <shadow val="0"/>
        <vertAlign val="baseline"/>
        <sz val="11"/>
        <color theme="1"/>
        <name val="Aptos Narrow"/>
        <scheme val="minor"/>
      </font>
      <alignment horizontal="general" vertical="top" wrapText="1"/>
    </dxf>
    <dxf>
      <font>
        <b/>
        <strike val="0"/>
        <condense val="0"/>
        <extend val="0"/>
        <outline val="0"/>
        <shadow val="0"/>
        <vertAlign val="baseline"/>
        <sz val="14"/>
        <color rgb="FFFFFFFF"/>
        <name val="Aptos Narrow"/>
        <scheme val="minor"/>
      </font>
      <fill>
        <patternFill patternType="solid">
          <fgColor rgb="FFFFFFFF"/>
          <bgColor rgb="FFC00000"/>
        </patternFill>
      </fill>
      <alignment horizontal="general" vertical="center" wrapText="1"/>
      <border outline="0">
        <left style="thin">
          <color rgb="FFD9D9D9"/>
        </left>
        <right style="thin">
          <color rgb="FFD9D9D9"/>
        </right>
        <top/>
        <bottom/>
      </border>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font>
        <b/>
        <strike val="0"/>
        <outline val="0"/>
        <shadow val="0"/>
        <vertAlign val="baseline"/>
        <sz val="12"/>
        <color theme="0"/>
        <name val="Aptos Narrow"/>
        <scheme val="minor"/>
      </font>
      <fill>
        <patternFill patternType="solid">
          <fgColor indexed="64"/>
          <bgColor rgb="FFC00000"/>
        </patternFill>
      </fill>
      <alignment horizontal="general" vertical="top"/>
    </dxf>
    <dxf>
      <font>
        <strike val="0"/>
        <outline val="0"/>
        <shadow val="0"/>
        <u/>
        <vertAlign val="baseline"/>
        <sz val="12"/>
        <color theme="1"/>
        <name val="Aptos Narrow"/>
        <family val="2"/>
        <scheme val="minor"/>
      </font>
    </dxf>
    <dxf>
      <font>
        <b/>
      </font>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fill>
        <patternFill patternType="solid">
          <fgColor indexed="64"/>
          <bgColor rgb="FFEDEDED"/>
        </patternFill>
      </fil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fill>
        <patternFill patternType="solid">
          <fgColor indexed="64"/>
          <bgColor rgb="FFF2F2F2"/>
        </patternFill>
      </fill>
      <alignment horizontal="general"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1"/>
        <color auto="1"/>
        <name val="Aptos Narrow"/>
        <scheme val="none"/>
      </font>
      <alignment horizontal="general" vertical="top"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C1C289-6D90-1E44-9C83-545EF96A54F6}" name="Table4" displayName="Table4" ref="A12:M44" totalsRowShown="0" headerRowDxfId="47" tableBorderDxfId="46" totalsRowBorderDxfId="45" headerRowCellStyle="Normal">
  <autoFilter ref="A12:M44" xr:uid="{5EC1C289-6D90-1E44-9C83-545EF96A54F6}"/>
  <tableColumns count="13">
    <tableColumn id="1" xr3:uid="{CE602E75-A15B-984E-8B35-DC077C3CC819}" name="#" dataDxfId="44"/>
    <tableColumn id="2" xr3:uid="{B19DE34F-4E26-A84A-90A1-4FB2304E9FF6}" name="Phase" dataDxfId="43"/>
    <tableColumn id="3" xr3:uid="{247B888E-F0D1-B840-8FAA-B0C064E85875}" name="Step (plain)" dataDxfId="42"/>
    <tableColumn id="4" xr3:uid="{0CA8FD0E-70E2-BD47-9455-80ED73B3BEC9}" name="Description (what exactly happens)" dataDxfId="41"/>
    <tableColumn id="5" xr3:uid="{23441FC3-A29A-134A-B3EC-4A29C158C629}" name="Wegovy (PAC131011)" dataDxfId="40"/>
    <tableColumn id="6" xr3:uid="{343C1D9C-6264-F249-950A-EAFD0D4DE2EA}" name="717-A (ACF PAC 33295)" dataDxfId="39"/>
    <tableColumn id="7" xr3:uid="{660ADFA2-CC81-E44C-9509-D9B1CCD4C146}" name="IBR (PAC20883)" dataDxfId="38"/>
    <tableColumn id="8" xr3:uid="{9CBBD2DB-F088-5B4F-8E98-73B1A031F695}" name="Same across all 3?" dataDxfId="37"/>
    <tableColumn id="9" xr3:uid="{B31F4945-2453-A644-A0FE-EF79B19D3DC1}" name="Source steps (P1 / P2 / P3)" dataDxfId="36"/>
    <tableColumn id="10" xr3:uid="{E0104DCF-DC47-194A-A42E-DFC0488FF3F5}" name="Data / fields we think it uses" dataDxfId="35"/>
    <tableColumn id="12" xr3:uid="{311F0F82-A970-D24E-865C-D9CC693A91ED}" name="Build note" dataDxfId="34"/>
    <tableColumn id="13" xr3:uid="{A6F85F78-EA73-6A46-B9BE-3058BB2DF4EE}" name="Loop 1 or 2?" dataDxfId="33"/>
    <tableColumn id="14" xr3:uid="{CE7B4EE2-5AC4-6740-9C9F-9F7E6A122DBE}" name="Automation Potential" dataDxfId="3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4:K38" totalsRowShown="0" headerRowDxfId="31">
  <autoFilter ref="A14:K38" xr:uid="{00000000-0009-0000-0100-000002000000}"/>
  <tableColumns count="11">
    <tableColumn id="1" xr3:uid="{00000000-0010-0000-0100-000001000000}" name="WI No"/>
    <tableColumn id="2" xr3:uid="{00000000-0010-0000-0100-000002000000}" name="Main Link (original)" dataDxfId="30"/>
    <tableColumn id="3" xr3:uid="{00000000-0010-0000-0100-000003000000}" name="Description (original)"/>
    <tableColumn id="4" xr3:uid="{00000000-0010-0000-0100-000004000000}" name="Step (original draft)"/>
    <tableColumn id="5" xr3:uid="{00000000-0010-0000-0100-000005000000}" name="Title on thesource"/>
    <tableColumn id="6" xr3:uid="{00000000-0010-0000-0100-000006000000}" name="Last modified (thesource)"/>
    <tableColumn id="7" xr3:uid="{00000000-0010-0000-0100-000007000000}" name="Used by"/>
    <tableColumn id="8" xr3:uid="{00000000-0010-0000-0100-000008000000}" name="What it covers"/>
    <tableColumn id="9" xr3:uid="{00000000-0010-0000-0100-000009000000}" name="Where it fits in the Wegovy flow"/>
    <tableColumn id="10" xr3:uid="{00000000-0010-0000-0100-00000A000000}" name="AS400?"/>
    <tableColumn id="11" xr3:uid="{00000000-0010-0000-0100-00000B000000}" name="PA Caddie relevanc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D13:Q14" totalsRowShown="0" headerRowDxfId="29" dataDxfId="28">
  <autoFilter ref="D13:Q14" xr:uid="{00000000-0009-0000-0100-000001000000}"/>
  <tableColumns count="14">
    <tableColumn id="1" xr3:uid="{00000000-0010-0000-0000-000001000000}" name="#" dataDxfId="27"/>
    <tableColumn id="2" xr3:uid="{00000000-0010-0000-0000-000002000000}" name="Phase" dataDxfId="26"/>
    <tableColumn id="3" xr3:uid="{00000000-0010-0000-0000-000003000000}" name="Step" dataDxfId="25"/>
    <tableColumn id="4" xr3:uid="{00000000-0010-0000-0000-000004000000}" name="What happens (plain language)" dataDxfId="24"/>
    <tableColumn id="5" xr3:uid="{00000000-0010-0000-0000-000005000000}" name="Decision / branch" dataDxfId="23"/>
    <tableColumn id="6" xr3:uid="{00000000-0010-0000-0000-000006000000}" name="System" dataDxfId="22"/>
    <tableColumn id="7" xr3:uid="{00000000-0010-0000-0000-000007000000}" name="AS400?" dataDxfId="21"/>
    <tableColumn id="8" xr3:uid="{00000000-0010-0000-0000-000008000000}" name="AS400 used for" dataDxfId="20"/>
    <tableColumn id="9" xr3:uid="{00000000-0010-0000-0000-000009000000}" name="Role" dataDxfId="19"/>
    <tableColumn id="10" xr3:uid="{00000000-0010-0000-0000-00000A000000}" name="Source WI" dataDxfId="18"/>
    <tableColumn id="11" xr3:uid="{00000000-0010-0000-0000-00000B000000}" name="Workshop observation (Ops Reviewer and US 1-1)" dataDxfId="17"/>
    <tableColumn id="12" xr3:uid="{00000000-0010-0000-0000-00000C000000}" name="Wegovy, PAC131011" dataDxfId="16"/>
    <tableColumn id="13" xr3:uid="{00000000-0010-0000-0000-00000D000000}" name="717-A, PACXYZABC" dataDxfId="15"/>
    <tableColumn id="14" xr3:uid="{00000000-0010-0000-0000-00000E000000}" name="IBRs, PACDEFGHI" dataDxfId="1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1:M34" totalsRowShown="0" headerRowDxfId="13" dataDxfId="12">
  <autoFilter ref="A11:M34" xr:uid="{00000000-0009-0000-0100-000003000000}"/>
  <tableColumns count="13">
    <tableColumn id="1" xr3:uid="{00000000-0010-0000-0200-000001000000}" name="#" dataDxfId="11"/>
    <tableColumn id="2" xr3:uid="{00000000-0010-0000-0200-000002000000}" name="Phase" dataDxfId="10"/>
    <tableColumn id="3" xr3:uid="{00000000-0010-0000-0200-000003000000}" name="Step" dataDxfId="9"/>
    <tableColumn id="4" xr3:uid="{00000000-0010-0000-0200-000004000000}" name="What happens (KC's plain language)" dataDxfId="8"/>
    <tableColumn id="5" xr3:uid="{00000000-0010-0000-0200-000005000000}" name="Decision / branch" dataDxfId="7"/>
    <tableColumn id="6" xr3:uid="{00000000-0010-0000-0200-000006000000}" name="System" dataDxfId="6"/>
    <tableColumn id="7" xr3:uid="{00000000-0010-0000-0200-000007000000}" name="AS400 / RxClaim?" dataDxfId="5"/>
    <tableColumn id="8" xr3:uid="{00000000-0010-0000-0200-000008000000}" name="AS400 used for" dataDxfId="4"/>
    <tableColumn id="9" xr3:uid="{00000000-0010-0000-0200-000009000000}" name="Role" dataDxfId="3"/>
    <tableColumn id="10" xr3:uid="{00000000-0010-0000-0200-00000A000000}" name="Source WI" dataDxfId="2"/>
    <tableColumn id="11" xr3:uid="{00000000-0010-0000-0200-00000B000000}" name="Workshop observation (Ops Reviewer and KC 1-1)" dataDxfId="1"/>
    <tableColumn id="12" xr3:uid="{00000000-0010-0000-0200-00000C000000}" name="KC Started Building the logic" dataDxfId="0"/>
    <tableColumn id="13" xr3:uid="{00000000-0010-0000-0200-00000D000000}" name="Required for PA Caddi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thesource.cvshealth.com/nuxeo/thesour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thesource.cvshealth.com/nuxeo/thesource/" TargetMode="External"/><Relationship Id="rId2" Type="http://schemas.openxmlformats.org/officeDocument/2006/relationships/hyperlink" Target="https://thesource.cvshealth.com/nuxeo/thesource/" TargetMode="External"/><Relationship Id="rId1" Type="http://schemas.openxmlformats.org/officeDocument/2006/relationships/hyperlink" Target="https://thesource.cvshealth.com/nuxeo/thesource/" TargetMode="Externa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8" Type="http://schemas.openxmlformats.org/officeDocument/2006/relationships/hyperlink" Target="https://thesource.cvshealth.com/nuxeo/thesource/" TargetMode="External"/><Relationship Id="rId3" Type="http://schemas.openxmlformats.org/officeDocument/2006/relationships/hyperlink" Target="https://thesource.cvshealth.com/nuxeo/thesource/" TargetMode="External"/><Relationship Id="rId7" Type="http://schemas.openxmlformats.org/officeDocument/2006/relationships/hyperlink" Target="https://thesource.cvshealth.com/nuxeo/thesource/" TargetMode="External"/><Relationship Id="rId2" Type="http://schemas.openxmlformats.org/officeDocument/2006/relationships/hyperlink" Target="https://thesource.cvshealth.com/nuxeo/thesource/" TargetMode="External"/><Relationship Id="rId1" Type="http://schemas.openxmlformats.org/officeDocument/2006/relationships/hyperlink" Target="https://thesource.cvshealth.com/nuxeo/thesource/" TargetMode="External"/><Relationship Id="rId6" Type="http://schemas.openxmlformats.org/officeDocument/2006/relationships/hyperlink" Target="https://thesource.cvshealth.com/nuxeo/thesource/" TargetMode="External"/><Relationship Id="rId5" Type="http://schemas.openxmlformats.org/officeDocument/2006/relationships/hyperlink" Target="https://thesource.cvshealth.com/nuxeo/thesource/" TargetMode="External"/><Relationship Id="rId4" Type="http://schemas.openxmlformats.org/officeDocument/2006/relationships/hyperlink" Target="https://thesource.cvshealth.com/nuxeo/thesource/"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thesource.cvshealth.com/nuxeo/thesource/" TargetMode="External"/><Relationship Id="rId3" Type="http://schemas.openxmlformats.org/officeDocument/2006/relationships/hyperlink" Target="https://thesource.cvshealth.com/nuxeo/thesource/" TargetMode="External"/><Relationship Id="rId7" Type="http://schemas.openxmlformats.org/officeDocument/2006/relationships/hyperlink" Target="https://thesource.cvshealth.com/nuxeo/thesource/" TargetMode="External"/><Relationship Id="rId2" Type="http://schemas.openxmlformats.org/officeDocument/2006/relationships/hyperlink" Target="https://thesource.cvshealth.com/nuxeo/thesource/" TargetMode="External"/><Relationship Id="rId1" Type="http://schemas.openxmlformats.org/officeDocument/2006/relationships/hyperlink" Target="https://thesource.cvshealth.com/nuxeo/thesource/" TargetMode="External"/><Relationship Id="rId6" Type="http://schemas.openxmlformats.org/officeDocument/2006/relationships/hyperlink" Target="https://thesource.cvshealth.com/nuxeo/thesource/" TargetMode="External"/><Relationship Id="rId5" Type="http://schemas.openxmlformats.org/officeDocument/2006/relationships/hyperlink" Target="https://thesource.cvshealth.com/nuxeo/thesource/" TargetMode="External"/><Relationship Id="rId4" Type="http://schemas.openxmlformats.org/officeDocument/2006/relationships/hyperlink" Target="https://thesource.cvshealth.com/nuxeo/thesour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27"/>
  <sheetViews>
    <sheetView zoomScale="125" workbookViewId="0">
      <selection sqref="A1:I7"/>
    </sheetView>
  </sheetViews>
  <sheetFormatPr defaultColWidth="11" defaultRowHeight="15.75" customHeight="1"/>
  <cols>
    <col min="6" max="6" width="21.125" customWidth="1"/>
    <col min="7" max="7" width="6.875" bestFit="1" customWidth="1"/>
    <col min="8" max="8" width="8.5" customWidth="1"/>
    <col min="9" max="9" width="9.875" customWidth="1"/>
    <col min="10" max="10" width="6" customWidth="1"/>
    <col min="11" max="11" width="10" customWidth="1"/>
    <col min="12" max="12" width="6.625" customWidth="1"/>
    <col min="13" max="13" width="14.625" customWidth="1"/>
    <col min="14" max="14" width="7.875" customWidth="1"/>
    <col min="15" max="15" width="10" customWidth="1"/>
    <col min="16" max="16" width="9.875" bestFit="1" customWidth="1"/>
    <col min="17" max="17" width="5.625" bestFit="1" customWidth="1"/>
    <col min="18" max="18" width="10" bestFit="1" customWidth="1"/>
    <col min="19" max="19" width="6" customWidth="1"/>
    <col min="20" max="20" width="17.375" customWidth="1"/>
    <col min="21" max="21" width="8.625" bestFit="1" customWidth="1"/>
    <col min="22" max="22" width="8.5" bestFit="1" customWidth="1"/>
    <col min="23" max="23" width="9.875" bestFit="1" customWidth="1"/>
    <col min="24" max="24" width="10.625" bestFit="1" customWidth="1"/>
    <col min="25" max="25" width="10" bestFit="1" customWidth="1"/>
    <col min="26" max="26" width="8" customWidth="1"/>
    <col min="27" max="27" width="17" customWidth="1"/>
  </cols>
  <sheetData>
    <row r="1" spans="1:27" ht="15.75" customHeight="1">
      <c r="A1" s="207" t="s">
        <v>0</v>
      </c>
      <c r="B1" s="215"/>
      <c r="C1" s="215"/>
      <c r="D1" s="215"/>
      <c r="E1" s="215"/>
      <c r="F1" s="215"/>
      <c r="G1" s="215"/>
      <c r="H1" s="215"/>
      <c r="I1" s="215"/>
    </row>
    <row r="2" spans="1:27" ht="15.75" customHeight="1">
      <c r="A2" s="215"/>
      <c r="B2" s="215"/>
      <c r="C2" s="215"/>
      <c r="D2" s="215"/>
      <c r="E2" s="215"/>
      <c r="F2" s="215"/>
      <c r="G2" s="215"/>
      <c r="H2" s="215"/>
      <c r="I2" s="215"/>
    </row>
    <row r="3" spans="1:27" ht="15.95" customHeight="1">
      <c r="A3" s="215"/>
      <c r="B3" s="215"/>
      <c r="C3" s="215"/>
      <c r="D3" s="215"/>
      <c r="E3" s="215"/>
      <c r="F3" s="215"/>
      <c r="G3" s="215"/>
      <c r="H3" s="215"/>
      <c r="I3" s="215"/>
    </row>
    <row r="4" spans="1:27" ht="15.95" customHeight="1">
      <c r="A4" s="215"/>
      <c r="B4" s="215"/>
      <c r="C4" s="215"/>
      <c r="D4" s="215"/>
      <c r="E4" s="215"/>
      <c r="F4" s="215"/>
      <c r="G4" s="215"/>
      <c r="H4" s="215"/>
      <c r="I4" s="215"/>
    </row>
    <row r="5" spans="1:27" ht="15.95" customHeight="1">
      <c r="A5" s="215"/>
      <c r="B5" s="215"/>
      <c r="C5" s="215"/>
      <c r="D5" s="215"/>
      <c r="E5" s="215"/>
      <c r="F5" s="215"/>
      <c r="G5" s="215"/>
      <c r="H5" s="215"/>
      <c r="I5" s="215"/>
      <c r="O5" t="s">
        <v>1</v>
      </c>
    </row>
    <row r="6" spans="1:27" ht="15.95" customHeight="1">
      <c r="A6" s="215"/>
      <c r="B6" s="215"/>
      <c r="C6" s="215"/>
      <c r="D6" s="215"/>
      <c r="E6" s="215"/>
      <c r="F6" s="215"/>
      <c r="G6" s="215"/>
      <c r="H6" s="215"/>
      <c r="I6" s="215"/>
    </row>
    <row r="7" spans="1:27" ht="15.95" customHeight="1">
      <c r="A7" s="215"/>
      <c r="B7" s="215"/>
      <c r="C7" s="215"/>
      <c r="D7" s="215"/>
      <c r="E7" s="215"/>
      <c r="F7" s="215"/>
      <c r="G7" s="215"/>
      <c r="H7" s="215"/>
      <c r="I7" s="215"/>
    </row>
    <row r="10" spans="1:27" ht="15.95" customHeight="1"/>
    <row r="11" spans="1:27" ht="15.95" customHeight="1">
      <c r="F11" s="210" t="s">
        <v>2</v>
      </c>
      <c r="G11" s="211" t="s">
        <v>3</v>
      </c>
      <c r="H11" s="216"/>
      <c r="I11" s="216"/>
      <c r="J11" s="216"/>
      <c r="K11" s="216"/>
      <c r="L11" s="216"/>
      <c r="M11" s="217"/>
      <c r="N11" s="208" t="s">
        <v>4</v>
      </c>
      <c r="O11" s="218"/>
      <c r="P11" s="218"/>
      <c r="Q11" s="218"/>
      <c r="R11" s="218"/>
      <c r="S11" s="218"/>
      <c r="T11" s="218"/>
      <c r="U11" s="209" t="s">
        <v>5</v>
      </c>
      <c r="V11" s="216"/>
      <c r="W11" s="216"/>
      <c r="X11" s="216"/>
      <c r="Y11" s="216"/>
      <c r="Z11" s="216"/>
      <c r="AA11" s="217"/>
    </row>
    <row r="12" spans="1:27" s="63" customFormat="1" ht="51" customHeight="1">
      <c r="F12" s="219"/>
      <c r="G12" s="15" t="s">
        <v>6</v>
      </c>
      <c r="H12" s="15" t="s">
        <v>7</v>
      </c>
      <c r="I12" s="15" t="s">
        <v>8</v>
      </c>
      <c r="J12" s="15" t="s">
        <v>9</v>
      </c>
      <c r="K12" s="15" t="s">
        <v>10</v>
      </c>
      <c r="L12" s="15" t="s">
        <v>11</v>
      </c>
      <c r="M12" s="15" t="s">
        <v>12</v>
      </c>
      <c r="N12" s="128" t="s">
        <v>6</v>
      </c>
      <c r="O12" s="129" t="s">
        <v>7</v>
      </c>
      <c r="P12" s="129" t="s">
        <v>8</v>
      </c>
      <c r="Q12" s="129" t="s">
        <v>9</v>
      </c>
      <c r="R12" s="129" t="s">
        <v>10</v>
      </c>
      <c r="S12" s="129" t="s">
        <v>11</v>
      </c>
      <c r="T12" s="130" t="s">
        <v>12</v>
      </c>
      <c r="U12" s="13" t="s">
        <v>6</v>
      </c>
      <c r="V12" s="13" t="s">
        <v>7</v>
      </c>
      <c r="W12" s="13" t="s">
        <v>8</v>
      </c>
      <c r="X12" s="13" t="s">
        <v>9</v>
      </c>
      <c r="Y12" s="13" t="s">
        <v>10</v>
      </c>
      <c r="Z12" s="13" t="s">
        <v>13</v>
      </c>
      <c r="AA12" s="14" t="s">
        <v>12</v>
      </c>
    </row>
    <row r="13" spans="1:27" ht="15.95" customHeight="1">
      <c r="F13" s="101" t="s">
        <v>14</v>
      </c>
      <c r="G13" s="83">
        <f>'WF 1'!E30</f>
        <v>913153</v>
      </c>
      <c r="H13" s="84">
        <f>'WF 1'!F30</f>
        <v>650054</v>
      </c>
      <c r="I13" s="85">
        <f t="shared" ref="I13:I18" si="0">H13/G13</f>
        <v>0.71187851323929285</v>
      </c>
      <c r="J13" s="86">
        <f>'WF 1'!H30</f>
        <v>5448988.2062844597</v>
      </c>
      <c r="K13" s="95">
        <f t="shared" ref="K13:K18" si="1">J13/G13</f>
        <v>5.9672236813375852</v>
      </c>
      <c r="L13" s="87">
        <f>'WF 1'!L30</f>
        <v>221.83700212341196</v>
      </c>
      <c r="M13" s="99">
        <v>1.06</v>
      </c>
      <c r="N13" s="112">
        <v>389000</v>
      </c>
      <c r="O13" s="113">
        <v>4</v>
      </c>
      <c r="P13" s="114">
        <f>O13/N13</f>
        <v>1.0282776349614396E-5</v>
      </c>
      <c r="Q13" s="115">
        <v>1000000</v>
      </c>
      <c r="R13" s="116">
        <f t="shared" ref="R13:R18" si="2">IFERROR(Q13/N13, 0)</f>
        <v>2.5706940874035991</v>
      </c>
      <c r="S13" s="117">
        <v>147</v>
      </c>
      <c r="T13" s="118">
        <v>1.84</v>
      </c>
      <c r="U13" s="102">
        <v>75000</v>
      </c>
      <c r="V13" s="105">
        <v>25000</v>
      </c>
      <c r="W13" s="131">
        <f>IFERROR(V13/U13,0)</f>
        <v>0.33333333333333331</v>
      </c>
      <c r="X13" s="106">
        <v>1140000</v>
      </c>
      <c r="Y13" s="108">
        <f>IFERROR(X13/U13,0)</f>
        <v>15.2</v>
      </c>
      <c r="Z13" s="96">
        <v>492</v>
      </c>
      <c r="AA13" s="88">
        <v>1.82</v>
      </c>
    </row>
    <row r="14" spans="1:27" ht="15.95" customHeight="1">
      <c r="F14" s="68" t="s">
        <v>15</v>
      </c>
      <c r="G14" s="89">
        <f>'WF 1'!E31</f>
        <v>239853</v>
      </c>
      <c r="H14" s="70">
        <f>'WF 1'!F31</f>
        <v>239853</v>
      </c>
      <c r="I14" s="12">
        <f t="shared" si="0"/>
        <v>1</v>
      </c>
      <c r="J14" s="71">
        <f>'WF 1'!H31</f>
        <v>48701</v>
      </c>
      <c r="K14" s="28">
        <f t="shared" si="1"/>
        <v>0.20304519851742525</v>
      </c>
      <c r="L14" s="11">
        <f>'WF 1'!L31</f>
        <v>10.840097893292976</v>
      </c>
      <c r="M14" s="82">
        <v>0.1</v>
      </c>
      <c r="N14" s="119">
        <v>0</v>
      </c>
      <c r="O14">
        <v>0</v>
      </c>
      <c r="P14" s="75" t="s">
        <v>16</v>
      </c>
      <c r="Q14">
        <v>0</v>
      </c>
      <c r="R14" s="28">
        <f t="shared" si="2"/>
        <v>0</v>
      </c>
      <c r="S14" s="74" t="s">
        <v>16</v>
      </c>
      <c r="T14" s="120" t="s">
        <v>16</v>
      </c>
      <c r="U14" s="103" t="s">
        <v>16</v>
      </c>
      <c r="V14" s="103" t="s">
        <v>16</v>
      </c>
      <c r="W14" s="132" t="s">
        <v>16</v>
      </c>
      <c r="X14" s="107" t="s">
        <v>16</v>
      </c>
      <c r="Y14" s="111" t="s">
        <v>16</v>
      </c>
      <c r="Z14" s="74" t="s">
        <v>16</v>
      </c>
      <c r="AA14" s="97" t="s">
        <v>16</v>
      </c>
    </row>
    <row r="15" spans="1:27" ht="15.95" customHeight="1">
      <c r="F15" s="68" t="s">
        <v>17</v>
      </c>
      <c r="G15" s="89">
        <f>'WF 1'!E32</f>
        <v>673300</v>
      </c>
      <c r="H15" s="70">
        <f>'WF 1'!F32</f>
        <v>410201</v>
      </c>
      <c r="I15" s="12">
        <f t="shared" si="0"/>
        <v>0.60923956631516407</v>
      </c>
      <c r="J15" s="71">
        <f>'WF 1'!H32</f>
        <v>5400287.2062844597</v>
      </c>
      <c r="K15" s="28">
        <f t="shared" si="1"/>
        <v>8.020625584857358</v>
      </c>
      <c r="L15" s="11">
        <f>'WF 1'!L32</f>
        <v>297.00147631070843</v>
      </c>
      <c r="M15" s="82">
        <v>1.41</v>
      </c>
      <c r="N15" s="119">
        <v>389000</v>
      </c>
      <c r="O15" s="11">
        <v>4</v>
      </c>
      <c r="P15" s="12">
        <f>O15/N15</f>
        <v>1.0282776349614396E-5</v>
      </c>
      <c r="Q15" s="121">
        <v>1000000</v>
      </c>
      <c r="R15" s="28">
        <f t="shared" si="2"/>
        <v>2.5706940874035991</v>
      </c>
      <c r="S15">
        <v>147</v>
      </c>
      <c r="T15" s="122">
        <v>1.84</v>
      </c>
      <c r="U15" s="178">
        <v>75000</v>
      </c>
      <c r="V15" s="103">
        <v>25000</v>
      </c>
      <c r="W15" s="132">
        <f>IFERROR(V15/U15,0)</f>
        <v>0.33333333333333331</v>
      </c>
      <c r="X15" s="107">
        <v>1140000</v>
      </c>
      <c r="Y15" s="109">
        <f>IFERROR(X15/U15,0)</f>
        <v>15.2</v>
      </c>
      <c r="Z15" s="74">
        <v>492</v>
      </c>
      <c r="AA15" s="90">
        <v>1.82</v>
      </c>
    </row>
    <row r="16" spans="1:27" ht="15.95" customHeight="1">
      <c r="F16" s="67" t="s">
        <v>18</v>
      </c>
      <c r="G16" s="177">
        <f>'WF 1'!E33</f>
        <v>358815</v>
      </c>
      <c r="H16" s="70">
        <f>'WF 1'!F33</f>
        <v>306354</v>
      </c>
      <c r="I16" s="12">
        <f t="shared" si="0"/>
        <v>0.85379373771999501</v>
      </c>
      <c r="J16" s="71">
        <f>'WF 1'!H33</f>
        <v>3151440</v>
      </c>
      <c r="K16" s="28">
        <f t="shared" si="1"/>
        <v>8.7829104134442542</v>
      </c>
      <c r="L16" s="11">
        <f>'WF 1'!L33</f>
        <v>382.24852082549501</v>
      </c>
      <c r="M16" s="82">
        <v>1.76</v>
      </c>
      <c r="N16" s="176">
        <v>286000</v>
      </c>
      <c r="O16">
        <v>4</v>
      </c>
      <c r="P16" s="12">
        <f>O16/N16</f>
        <v>1.3986013986013986E-5</v>
      </c>
      <c r="Q16" s="72">
        <v>748000</v>
      </c>
      <c r="R16" s="28">
        <f t="shared" si="2"/>
        <v>2.6153846153846154</v>
      </c>
      <c r="S16">
        <v>160</v>
      </c>
      <c r="T16" s="122">
        <v>2.06</v>
      </c>
      <c r="U16" s="103">
        <v>50000</v>
      </c>
      <c r="V16" s="103">
        <v>21000</v>
      </c>
      <c r="W16" s="132">
        <f>IFERROR(V16/U16,0)</f>
        <v>0.42</v>
      </c>
      <c r="X16" s="103">
        <v>847000</v>
      </c>
      <c r="Y16" s="109">
        <f>IFERROR(X16/U16,0)</f>
        <v>16.940000000000001</v>
      </c>
      <c r="Z16" s="74">
        <v>583</v>
      </c>
      <c r="AA16" s="90">
        <v>2.4700000000000002</v>
      </c>
    </row>
    <row r="17" spans="6:27" ht="15.95" customHeight="1">
      <c r="F17" s="67" t="s">
        <v>19</v>
      </c>
      <c r="G17" s="89">
        <f>'WF 1'!E35</f>
        <v>181455</v>
      </c>
      <c r="H17" s="70">
        <f>'WF 1'!F35</f>
        <v>84875</v>
      </c>
      <c r="I17" s="12">
        <f t="shared" si="0"/>
        <v>0.46774682428150233</v>
      </c>
      <c r="J17" s="71">
        <f>'WF 1'!H35</f>
        <v>1744584</v>
      </c>
      <c r="K17" s="28">
        <f t="shared" si="1"/>
        <v>9.6144167975531118</v>
      </c>
      <c r="L17" s="11">
        <f>'WF 1'!L35</f>
        <v>248.43443829048525</v>
      </c>
      <c r="M17" s="82">
        <v>1.23</v>
      </c>
      <c r="N17" s="119">
        <v>9000</v>
      </c>
      <c r="O17">
        <v>0</v>
      </c>
      <c r="P17" s="12">
        <f>O17/N17</f>
        <v>0</v>
      </c>
      <c r="Q17" s="72">
        <v>119000</v>
      </c>
      <c r="R17" s="28">
        <f t="shared" si="2"/>
        <v>13.222222222222221</v>
      </c>
      <c r="S17">
        <v>331</v>
      </c>
      <c r="T17" s="122">
        <v>1.4</v>
      </c>
      <c r="U17" s="103">
        <v>23400</v>
      </c>
      <c r="V17" s="103">
        <v>3000</v>
      </c>
      <c r="W17" s="132">
        <f>IFERROR(V17/U17,0)</f>
        <v>0.12820512820512819</v>
      </c>
      <c r="X17" s="103">
        <v>222000</v>
      </c>
      <c r="Y17" s="109">
        <f>IFERROR(X17/U17,0)</f>
        <v>9.4871794871794872</v>
      </c>
      <c r="Z17" s="74">
        <v>263</v>
      </c>
      <c r="AA17" s="90">
        <v>1.27</v>
      </c>
    </row>
    <row r="18" spans="6:27" ht="15.95" customHeight="1">
      <c r="F18" s="69" t="s">
        <v>20</v>
      </c>
      <c r="G18" s="91">
        <f>'WF 1'!E38</f>
        <v>114090</v>
      </c>
      <c r="H18" s="92">
        <f>'WF 1'!F38</f>
        <v>110</v>
      </c>
      <c r="I18" s="42">
        <f t="shared" si="0"/>
        <v>9.6415110877377504E-4</v>
      </c>
      <c r="J18" s="93">
        <f>'WF 1'!H37</f>
        <v>504263.20628445968</v>
      </c>
      <c r="K18" s="43">
        <f t="shared" si="1"/>
        <v>4.4198720859361877</v>
      </c>
      <c r="L18" s="41">
        <f>'WF 1'!L37</f>
        <v>133.31519206194091</v>
      </c>
      <c r="M18" s="100">
        <v>0.72</v>
      </c>
      <c r="N18" s="123">
        <v>94000</v>
      </c>
      <c r="O18" s="124">
        <v>0</v>
      </c>
      <c r="P18" s="205">
        <f>O18/N18</f>
        <v>0</v>
      </c>
      <c r="Q18" s="125">
        <v>136000</v>
      </c>
      <c r="R18" s="126">
        <f t="shared" si="2"/>
        <v>1.446808510638298</v>
      </c>
      <c r="S18" s="124">
        <v>90</v>
      </c>
      <c r="T18" s="127">
        <v>1.21</v>
      </c>
      <c r="U18" s="104">
        <v>2000</v>
      </c>
      <c r="V18" s="98">
        <v>305</v>
      </c>
      <c r="W18" s="133">
        <f>IFERROR(V18/U18,0)</f>
        <v>0.1525</v>
      </c>
      <c r="X18" s="104">
        <v>48000</v>
      </c>
      <c r="Y18" s="110">
        <f>IFERROR(X18/U18,0)</f>
        <v>24</v>
      </c>
      <c r="Z18" s="98">
        <v>794</v>
      </c>
      <c r="AA18" s="94">
        <v>0.63</v>
      </c>
    </row>
    <row r="19" spans="6:27" ht="15.95" customHeight="1">
      <c r="N19" s="72"/>
      <c r="P19" s="12"/>
      <c r="Q19" s="72"/>
      <c r="R19" s="72"/>
    </row>
    <row r="20" spans="6:27" ht="15.95" customHeight="1">
      <c r="F20" s="4"/>
    </row>
    <row r="21" spans="6:27" ht="15.95" customHeight="1">
      <c r="F21" s="5"/>
    </row>
    <row r="22" spans="6:27" ht="15.95" customHeight="1">
      <c r="F22" s="4"/>
    </row>
    <row r="23" spans="6:27" ht="15.95" customHeight="1">
      <c r="F23" s="2"/>
    </row>
    <row r="24" spans="6:27" ht="15.95" customHeight="1">
      <c r="F24" s="3"/>
    </row>
    <row r="25" spans="6:27" ht="15.95" customHeight="1">
      <c r="F25" s="2"/>
    </row>
    <row r="26" spans="6:27" ht="15.95" customHeight="1">
      <c r="F26" s="3"/>
    </row>
    <row r="27" spans="6:27" ht="15.95" customHeight="1">
      <c r="F27" s="1"/>
    </row>
  </sheetData>
  <mergeCells count="5">
    <mergeCell ref="A1:I7"/>
    <mergeCell ref="N11:T11"/>
    <mergeCell ref="U11:AA11"/>
    <mergeCell ref="F11:F12"/>
    <mergeCell ref="G11:M11"/>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6"/>
  <sheetViews>
    <sheetView showGridLines="0" tabSelected="1" topLeftCell="A7" zoomScale="141" zoomScaleNormal="141" workbookViewId="0">
      <selection activeCell="E15" sqref="E15"/>
    </sheetView>
  </sheetViews>
  <sheetFormatPr defaultColWidth="8.875" defaultRowHeight="15.95"/>
  <cols>
    <col min="1" max="1" width="5" customWidth="1"/>
    <col min="2" max="2" width="15" customWidth="1"/>
    <col min="3" max="3" width="26" customWidth="1"/>
    <col min="4" max="4" width="72" customWidth="1"/>
    <col min="5" max="7" width="30" customWidth="1"/>
    <col min="8" max="8" width="23.125" customWidth="1"/>
    <col min="9" max="9" width="25.625" customWidth="1"/>
    <col min="10" max="10" width="40" hidden="1" customWidth="1"/>
    <col min="11" max="11" width="34" hidden="1" customWidth="1"/>
    <col min="12" max="12" width="21" customWidth="1"/>
    <col min="13" max="13" width="21.875" customWidth="1"/>
  </cols>
  <sheetData>
    <row r="1" spans="1:13">
      <c r="A1" s="206" t="s">
        <v>21</v>
      </c>
      <c r="B1" s="207"/>
      <c r="C1" s="207"/>
      <c r="D1" s="207"/>
      <c r="E1" s="207"/>
      <c r="F1" s="207"/>
      <c r="G1" s="207"/>
      <c r="H1" s="207"/>
    </row>
    <row r="2" spans="1:13">
      <c r="A2" s="207"/>
      <c r="B2" s="207"/>
      <c r="C2" s="207"/>
      <c r="D2" s="207"/>
      <c r="E2" s="207"/>
      <c r="F2" s="207"/>
      <c r="G2" s="207"/>
      <c r="H2" s="207"/>
    </row>
    <row r="3" spans="1:13">
      <c r="A3" s="207"/>
      <c r="B3" s="207"/>
      <c r="C3" s="207"/>
      <c r="D3" s="207"/>
      <c r="E3" s="207"/>
      <c r="F3" s="207"/>
      <c r="G3" s="207"/>
      <c r="H3" s="207"/>
    </row>
    <row r="4" spans="1:13">
      <c r="A4" s="207"/>
      <c r="B4" s="207"/>
      <c r="C4" s="207"/>
      <c r="D4" s="207"/>
      <c r="E4" s="207"/>
      <c r="F4" s="207"/>
      <c r="G4" s="207"/>
      <c r="H4" s="207"/>
    </row>
    <row r="5" spans="1:13">
      <c r="A5" s="207"/>
      <c r="B5" s="207"/>
      <c r="C5" s="207"/>
      <c r="D5" s="207"/>
      <c r="E5" s="207"/>
      <c r="F5" s="207"/>
      <c r="G5" s="207"/>
      <c r="H5" s="207"/>
    </row>
    <row r="6" spans="1:13">
      <c r="A6" s="207"/>
      <c r="B6" s="207"/>
      <c r="C6" s="207"/>
      <c r="D6" s="207"/>
      <c r="E6" s="207"/>
      <c r="F6" s="207"/>
      <c r="G6" s="207"/>
      <c r="H6" s="207"/>
    </row>
    <row r="7" spans="1:13">
      <c r="A7" s="207"/>
      <c r="B7" s="207"/>
      <c r="C7" s="207"/>
      <c r="D7" s="207"/>
      <c r="E7" s="207"/>
      <c r="F7" s="207"/>
      <c r="G7" s="207"/>
      <c r="H7" s="207"/>
    </row>
    <row r="8" spans="1:13">
      <c r="A8" s="207"/>
      <c r="B8" s="207"/>
      <c r="C8" s="207"/>
      <c r="D8" s="207"/>
      <c r="E8" s="207"/>
      <c r="F8" s="207"/>
      <c r="G8" s="207"/>
      <c r="H8" s="207"/>
    </row>
    <row r="9" spans="1:13">
      <c r="A9" s="207"/>
      <c r="B9" s="207"/>
      <c r="C9" s="207"/>
      <c r="D9" s="207"/>
      <c r="E9" s="207"/>
      <c r="F9" s="207"/>
      <c r="G9" s="207"/>
      <c r="H9" s="207"/>
    </row>
    <row r="10" spans="1:13">
      <c r="A10" s="207"/>
      <c r="B10" s="207"/>
      <c r="C10" s="207"/>
      <c r="D10" s="207"/>
      <c r="E10" s="207"/>
      <c r="F10" s="207"/>
      <c r="G10" s="207"/>
      <c r="H10" s="207"/>
    </row>
    <row r="12" spans="1:13">
      <c r="A12" s="6" t="s">
        <v>22</v>
      </c>
      <c r="B12" s="6" t="s">
        <v>23</v>
      </c>
      <c r="C12" s="6" t="s">
        <v>24</v>
      </c>
      <c r="D12" s="6" t="s">
        <v>25</v>
      </c>
      <c r="E12" s="6" t="s">
        <v>3</v>
      </c>
      <c r="F12" s="6" t="s">
        <v>26</v>
      </c>
      <c r="G12" s="6" t="s">
        <v>27</v>
      </c>
      <c r="H12" s="6" t="s">
        <v>28</v>
      </c>
      <c r="I12" s="6" t="s">
        <v>29</v>
      </c>
      <c r="J12" s="6" t="s">
        <v>30</v>
      </c>
      <c r="K12" s="6" t="s">
        <v>31</v>
      </c>
      <c r="L12" s="204" t="s">
        <v>32</v>
      </c>
      <c r="M12" s="204" t="s">
        <v>33</v>
      </c>
    </row>
    <row r="13" spans="1:13" ht="108.6" customHeight="1">
      <c r="A13" s="188" t="s">
        <v>34</v>
      </c>
      <c r="B13" s="184" t="s">
        <v>35</v>
      </c>
      <c r="C13" s="183" t="s">
        <v>36</v>
      </c>
      <c r="D13" s="183" t="s">
        <v>37</v>
      </c>
      <c r="E13" s="183" t="s">
        <v>38</v>
      </c>
      <c r="F13" s="183" t="s">
        <v>39</v>
      </c>
      <c r="G13" s="183" t="s">
        <v>40</v>
      </c>
      <c r="H13" s="185" t="s">
        <v>39</v>
      </c>
      <c r="I13" s="183" t="s">
        <v>41</v>
      </c>
      <c r="J13" s="183" t="s">
        <v>42</v>
      </c>
      <c r="K13" s="189" t="s">
        <v>43</v>
      </c>
      <c r="L13" s="203"/>
      <c r="M13" s="203" t="s">
        <v>44</v>
      </c>
    </row>
    <row r="14" spans="1:13" ht="123.95" customHeight="1">
      <c r="A14" s="188" t="s">
        <v>45</v>
      </c>
      <c r="B14" s="184" t="s">
        <v>35</v>
      </c>
      <c r="C14" s="183" t="s">
        <v>46</v>
      </c>
      <c r="D14" s="183" t="s">
        <v>47</v>
      </c>
      <c r="E14" s="183" t="s">
        <v>48</v>
      </c>
      <c r="F14" s="183" t="s">
        <v>49</v>
      </c>
      <c r="G14" s="183" t="s">
        <v>50</v>
      </c>
      <c r="H14" s="186" t="s">
        <v>51</v>
      </c>
      <c r="I14" s="183" t="s">
        <v>52</v>
      </c>
      <c r="J14" s="183" t="s">
        <v>53</v>
      </c>
      <c r="K14" s="189" t="s">
        <v>54</v>
      </c>
      <c r="L14" s="183"/>
      <c r="M14" s="183" t="s">
        <v>55</v>
      </c>
    </row>
    <row r="15" spans="1:13" ht="123.95" customHeight="1">
      <c r="A15" s="188" t="s">
        <v>56</v>
      </c>
      <c r="B15" s="184" t="s">
        <v>35</v>
      </c>
      <c r="C15" s="183" t="s">
        <v>57</v>
      </c>
      <c r="D15" s="183" t="s">
        <v>58</v>
      </c>
      <c r="E15" s="183" t="s">
        <v>59</v>
      </c>
      <c r="F15" s="183" t="s">
        <v>60</v>
      </c>
      <c r="G15" s="183" t="s">
        <v>61</v>
      </c>
      <c r="H15" s="186" t="s">
        <v>51</v>
      </c>
      <c r="I15" s="183" t="s">
        <v>62</v>
      </c>
      <c r="J15" s="183" t="s">
        <v>63</v>
      </c>
      <c r="K15" s="189" t="s">
        <v>64</v>
      </c>
      <c r="L15" s="183"/>
      <c r="M15" s="183" t="s">
        <v>65</v>
      </c>
    </row>
    <row r="16" spans="1:13" ht="139.5" customHeight="1">
      <c r="A16" s="188" t="s">
        <v>66</v>
      </c>
      <c r="B16" s="184" t="s">
        <v>35</v>
      </c>
      <c r="C16" s="183" t="s">
        <v>67</v>
      </c>
      <c r="D16" s="183" t="s">
        <v>68</v>
      </c>
      <c r="E16" s="183" t="s">
        <v>69</v>
      </c>
      <c r="F16" s="183" t="s">
        <v>70</v>
      </c>
      <c r="G16" s="183" t="s">
        <v>71</v>
      </c>
      <c r="H16" s="186" t="s">
        <v>51</v>
      </c>
      <c r="I16" s="183" t="s">
        <v>72</v>
      </c>
      <c r="J16" s="183" t="s">
        <v>73</v>
      </c>
      <c r="K16" s="189" t="s">
        <v>74</v>
      </c>
      <c r="L16" s="183"/>
      <c r="M16" s="183" t="s">
        <v>75</v>
      </c>
    </row>
    <row r="17" spans="1:13" ht="123.95" customHeight="1">
      <c r="A17" s="188" t="s">
        <v>76</v>
      </c>
      <c r="B17" s="184" t="s">
        <v>77</v>
      </c>
      <c r="C17" s="183" t="s">
        <v>78</v>
      </c>
      <c r="D17" s="183" t="s">
        <v>79</v>
      </c>
      <c r="E17" s="183" t="s">
        <v>80</v>
      </c>
      <c r="F17" s="183" t="s">
        <v>81</v>
      </c>
      <c r="G17" s="183" t="s">
        <v>82</v>
      </c>
      <c r="H17" s="185" t="s">
        <v>39</v>
      </c>
      <c r="I17" s="183" t="s">
        <v>83</v>
      </c>
      <c r="J17" s="183" t="s">
        <v>84</v>
      </c>
      <c r="K17" s="189" t="s">
        <v>85</v>
      </c>
      <c r="L17" s="183"/>
      <c r="M17" s="183" t="s">
        <v>86</v>
      </c>
    </row>
    <row r="18" spans="1:13" ht="155.1" customHeight="1">
      <c r="A18" s="188" t="s">
        <v>87</v>
      </c>
      <c r="B18" s="184" t="s">
        <v>77</v>
      </c>
      <c r="C18" s="183" t="s">
        <v>88</v>
      </c>
      <c r="D18" s="183" t="s">
        <v>89</v>
      </c>
      <c r="E18" s="183" t="s">
        <v>90</v>
      </c>
      <c r="F18" s="183" t="s">
        <v>91</v>
      </c>
      <c r="G18" s="183" t="s">
        <v>92</v>
      </c>
      <c r="H18" s="187" t="s">
        <v>93</v>
      </c>
      <c r="I18" s="183" t="s">
        <v>83</v>
      </c>
      <c r="J18" s="183" t="s">
        <v>94</v>
      </c>
      <c r="K18" s="189" t="s">
        <v>95</v>
      </c>
      <c r="L18" s="183"/>
      <c r="M18" s="183" t="s">
        <v>96</v>
      </c>
    </row>
    <row r="19" spans="1:13" ht="212.1" customHeight="1">
      <c r="A19" s="188" t="s">
        <v>97</v>
      </c>
      <c r="B19" s="184" t="s">
        <v>77</v>
      </c>
      <c r="C19" s="183" t="s">
        <v>98</v>
      </c>
      <c r="D19" s="183" t="s">
        <v>99</v>
      </c>
      <c r="E19" s="183" t="s">
        <v>100</v>
      </c>
      <c r="F19" s="183" t="s">
        <v>101</v>
      </c>
      <c r="G19" s="183" t="s">
        <v>102</v>
      </c>
      <c r="H19" s="186" t="s">
        <v>51</v>
      </c>
      <c r="I19" s="183" t="s">
        <v>103</v>
      </c>
      <c r="J19" s="183" t="s">
        <v>104</v>
      </c>
      <c r="K19" s="189" t="s">
        <v>105</v>
      </c>
      <c r="L19" s="183"/>
      <c r="M19" s="183" t="s">
        <v>106</v>
      </c>
    </row>
    <row r="20" spans="1:13" ht="170.45" customHeight="1">
      <c r="A20" s="201" t="s">
        <v>107</v>
      </c>
      <c r="B20" s="202" t="s">
        <v>77</v>
      </c>
      <c r="C20" s="202" t="s">
        <v>108</v>
      </c>
      <c r="D20" s="202" t="s">
        <v>109</v>
      </c>
      <c r="E20" s="202" t="s">
        <v>110</v>
      </c>
      <c r="F20" s="202" t="s">
        <v>93</v>
      </c>
      <c r="G20" s="202" t="s">
        <v>111</v>
      </c>
      <c r="H20" s="202" t="s">
        <v>93</v>
      </c>
      <c r="I20" s="202" t="s">
        <v>112</v>
      </c>
      <c r="J20" s="183" t="s">
        <v>113</v>
      </c>
      <c r="K20" s="189" t="s">
        <v>114</v>
      </c>
      <c r="L20" s="183" t="s">
        <v>115</v>
      </c>
      <c r="M20" s="183" t="s">
        <v>116</v>
      </c>
    </row>
    <row r="21" spans="1:13" ht="170.45" customHeight="1">
      <c r="A21" s="188" t="s">
        <v>117</v>
      </c>
      <c r="B21" s="184" t="s">
        <v>77</v>
      </c>
      <c r="C21" s="183" t="s">
        <v>118</v>
      </c>
      <c r="D21" s="183" t="s">
        <v>119</v>
      </c>
      <c r="E21" s="183" t="s">
        <v>120</v>
      </c>
      <c r="F21" s="183" t="s">
        <v>121</v>
      </c>
      <c r="G21" s="183" t="s">
        <v>122</v>
      </c>
      <c r="H21" s="186" t="s">
        <v>51</v>
      </c>
      <c r="I21" s="183" t="s">
        <v>123</v>
      </c>
      <c r="J21" s="183" t="s">
        <v>124</v>
      </c>
      <c r="K21" s="189" t="s">
        <v>125</v>
      </c>
      <c r="L21" s="183"/>
      <c r="M21" s="183" t="s">
        <v>126</v>
      </c>
    </row>
    <row r="22" spans="1:13" ht="123.95" customHeight="1">
      <c r="A22" s="195" t="s">
        <v>127</v>
      </c>
      <c r="B22" s="196" t="s">
        <v>77</v>
      </c>
      <c r="C22" s="196" t="s">
        <v>128</v>
      </c>
      <c r="D22" s="196" t="s">
        <v>129</v>
      </c>
      <c r="E22" s="196" t="s">
        <v>39</v>
      </c>
      <c r="F22" s="196" t="s">
        <v>130</v>
      </c>
      <c r="G22" s="196" t="s">
        <v>93</v>
      </c>
      <c r="H22" s="196" t="s">
        <v>93</v>
      </c>
      <c r="I22" s="196" t="s">
        <v>131</v>
      </c>
      <c r="J22" s="196" t="s">
        <v>132</v>
      </c>
      <c r="K22" s="197" t="s">
        <v>133</v>
      </c>
      <c r="L22" s="183"/>
      <c r="M22" s="183"/>
    </row>
    <row r="23" spans="1:13" ht="46.5" customHeight="1">
      <c r="A23" s="188" t="s">
        <v>134</v>
      </c>
      <c r="B23" s="184" t="s">
        <v>77</v>
      </c>
      <c r="C23" s="183" t="s">
        <v>135</v>
      </c>
      <c r="D23" s="183" t="s">
        <v>136</v>
      </c>
      <c r="E23" s="183" t="s">
        <v>93</v>
      </c>
      <c r="F23" s="183" t="s">
        <v>137</v>
      </c>
      <c r="G23" s="183" t="s">
        <v>93</v>
      </c>
      <c r="H23" s="187" t="s">
        <v>93</v>
      </c>
      <c r="I23" s="183" t="s">
        <v>138</v>
      </c>
      <c r="J23" s="183" t="s">
        <v>139</v>
      </c>
      <c r="K23" s="189" t="s">
        <v>140</v>
      </c>
      <c r="L23" s="183"/>
      <c r="M23" s="183" t="s">
        <v>141</v>
      </c>
    </row>
    <row r="24" spans="1:13" ht="170.45" customHeight="1">
      <c r="A24" s="188" t="s">
        <v>142</v>
      </c>
      <c r="B24" s="184" t="s">
        <v>143</v>
      </c>
      <c r="C24" s="183" t="s">
        <v>144</v>
      </c>
      <c r="D24" s="183" t="s">
        <v>145</v>
      </c>
      <c r="E24" s="183" t="s">
        <v>146</v>
      </c>
      <c r="F24" s="183" t="s">
        <v>147</v>
      </c>
      <c r="G24" s="183" t="s">
        <v>148</v>
      </c>
      <c r="H24" s="187" t="s">
        <v>93</v>
      </c>
      <c r="I24" s="183" t="s">
        <v>149</v>
      </c>
      <c r="J24" s="183" t="s">
        <v>150</v>
      </c>
      <c r="K24" s="189" t="s">
        <v>151</v>
      </c>
      <c r="L24" s="183"/>
      <c r="M24" s="183"/>
    </row>
    <row r="25" spans="1:13" ht="139.5" customHeight="1">
      <c r="A25" s="188" t="s">
        <v>152</v>
      </c>
      <c r="B25" s="184" t="s">
        <v>143</v>
      </c>
      <c r="C25" s="183" t="s">
        <v>153</v>
      </c>
      <c r="D25" s="183" t="s">
        <v>154</v>
      </c>
      <c r="E25" s="183" t="s">
        <v>155</v>
      </c>
      <c r="F25" s="183" t="s">
        <v>156</v>
      </c>
      <c r="G25" s="183" t="s">
        <v>93</v>
      </c>
      <c r="H25" s="187" t="s">
        <v>93</v>
      </c>
      <c r="I25" s="183" t="s">
        <v>157</v>
      </c>
      <c r="J25" s="183" t="s">
        <v>158</v>
      </c>
      <c r="K25" s="189" t="s">
        <v>159</v>
      </c>
      <c r="L25" s="183"/>
      <c r="M25" s="183" t="s">
        <v>160</v>
      </c>
    </row>
    <row r="26" spans="1:13" ht="108.6" customHeight="1">
      <c r="A26" s="188" t="s">
        <v>161</v>
      </c>
      <c r="B26" s="184" t="s">
        <v>143</v>
      </c>
      <c r="C26" s="183" t="s">
        <v>162</v>
      </c>
      <c r="D26" s="183" t="s">
        <v>163</v>
      </c>
      <c r="E26" s="183" t="s">
        <v>164</v>
      </c>
      <c r="F26" s="183" t="s">
        <v>93</v>
      </c>
      <c r="G26" s="183" t="s">
        <v>93</v>
      </c>
      <c r="H26" s="187" t="s">
        <v>93</v>
      </c>
      <c r="I26" s="183" t="s">
        <v>165</v>
      </c>
      <c r="J26" s="183" t="s">
        <v>166</v>
      </c>
      <c r="K26" s="189" t="s">
        <v>167</v>
      </c>
      <c r="L26" s="183"/>
      <c r="M26" s="183"/>
    </row>
    <row r="27" spans="1:13" ht="108.6" customHeight="1">
      <c r="A27" s="188" t="s">
        <v>168</v>
      </c>
      <c r="B27" s="184" t="s">
        <v>143</v>
      </c>
      <c r="C27" s="183" t="s">
        <v>169</v>
      </c>
      <c r="D27" s="183" t="s">
        <v>170</v>
      </c>
      <c r="E27" s="183" t="s">
        <v>93</v>
      </c>
      <c r="F27" s="183" t="s">
        <v>171</v>
      </c>
      <c r="G27" s="183" t="s">
        <v>93</v>
      </c>
      <c r="H27" s="187" t="s">
        <v>93</v>
      </c>
      <c r="I27" s="183" t="s">
        <v>172</v>
      </c>
      <c r="J27" s="183" t="s">
        <v>173</v>
      </c>
      <c r="K27" s="189" t="s">
        <v>140</v>
      </c>
      <c r="L27" s="183"/>
      <c r="M27" s="183"/>
    </row>
    <row r="28" spans="1:13" ht="108.6" customHeight="1">
      <c r="A28" s="188" t="s">
        <v>174</v>
      </c>
      <c r="B28" s="184" t="s">
        <v>175</v>
      </c>
      <c r="C28" s="183" t="s">
        <v>176</v>
      </c>
      <c r="D28" s="183" t="s">
        <v>177</v>
      </c>
      <c r="E28" s="183" t="s">
        <v>178</v>
      </c>
      <c r="F28" s="183" t="s">
        <v>179</v>
      </c>
      <c r="G28" s="183" t="s">
        <v>180</v>
      </c>
      <c r="H28" s="187" t="s">
        <v>93</v>
      </c>
      <c r="I28" s="183" t="s">
        <v>181</v>
      </c>
      <c r="J28" s="183" t="s">
        <v>182</v>
      </c>
      <c r="K28" s="189" t="s">
        <v>183</v>
      </c>
      <c r="L28" s="183"/>
      <c r="M28" s="183"/>
    </row>
    <row r="29" spans="1:13" ht="108.6" customHeight="1">
      <c r="A29" s="188" t="s">
        <v>184</v>
      </c>
      <c r="B29" s="184" t="s">
        <v>175</v>
      </c>
      <c r="C29" s="183" t="s">
        <v>185</v>
      </c>
      <c r="D29" s="183" t="s">
        <v>186</v>
      </c>
      <c r="E29" s="183" t="s">
        <v>187</v>
      </c>
      <c r="F29" s="183" t="s">
        <v>187</v>
      </c>
      <c r="G29" s="183" t="s">
        <v>188</v>
      </c>
      <c r="H29" s="187" t="s">
        <v>93</v>
      </c>
      <c r="I29" s="183" t="s">
        <v>189</v>
      </c>
      <c r="J29" s="183" t="s">
        <v>190</v>
      </c>
      <c r="K29" s="189" t="s">
        <v>191</v>
      </c>
      <c r="L29" s="183"/>
      <c r="M29" s="183"/>
    </row>
    <row r="30" spans="1:13" ht="93" customHeight="1">
      <c r="A30" s="188" t="s">
        <v>192</v>
      </c>
      <c r="B30" s="184" t="s">
        <v>175</v>
      </c>
      <c r="C30" s="183" t="s">
        <v>193</v>
      </c>
      <c r="D30" s="183" t="s">
        <v>194</v>
      </c>
      <c r="E30" s="183" t="s">
        <v>195</v>
      </c>
      <c r="F30" s="183" t="s">
        <v>196</v>
      </c>
      <c r="G30" s="183" t="s">
        <v>93</v>
      </c>
      <c r="H30" s="186" t="s">
        <v>51</v>
      </c>
      <c r="I30" s="183" t="s">
        <v>197</v>
      </c>
      <c r="J30" s="183" t="s">
        <v>198</v>
      </c>
      <c r="K30" s="189" t="s">
        <v>199</v>
      </c>
      <c r="L30" s="183"/>
      <c r="M30" s="183"/>
    </row>
    <row r="31" spans="1:13" ht="123.95" customHeight="1">
      <c r="A31" s="188" t="s">
        <v>200</v>
      </c>
      <c r="B31" s="184" t="s">
        <v>201</v>
      </c>
      <c r="C31" s="183" t="s">
        <v>202</v>
      </c>
      <c r="D31" s="183" t="s">
        <v>203</v>
      </c>
      <c r="E31" s="183" t="s">
        <v>204</v>
      </c>
      <c r="F31" s="183" t="s">
        <v>39</v>
      </c>
      <c r="G31" s="183" t="s">
        <v>205</v>
      </c>
      <c r="H31" s="185" t="s">
        <v>39</v>
      </c>
      <c r="I31" s="183" t="s">
        <v>206</v>
      </c>
      <c r="J31" s="183" t="s">
        <v>207</v>
      </c>
      <c r="K31" s="189" t="s">
        <v>208</v>
      </c>
      <c r="L31" s="183"/>
      <c r="M31" s="183"/>
    </row>
    <row r="32" spans="1:13" ht="108.6" customHeight="1">
      <c r="A32" s="188" t="s">
        <v>209</v>
      </c>
      <c r="B32" s="184" t="s">
        <v>201</v>
      </c>
      <c r="C32" s="183" t="s">
        <v>210</v>
      </c>
      <c r="D32" s="183" t="s">
        <v>211</v>
      </c>
      <c r="E32" s="183" t="s">
        <v>212</v>
      </c>
      <c r="F32" s="183" t="s">
        <v>213</v>
      </c>
      <c r="G32" s="183" t="s">
        <v>214</v>
      </c>
      <c r="H32" s="186" t="s">
        <v>51</v>
      </c>
      <c r="I32" s="183" t="s">
        <v>215</v>
      </c>
      <c r="J32" s="183" t="s">
        <v>216</v>
      </c>
      <c r="K32" s="189" t="s">
        <v>217</v>
      </c>
      <c r="L32" s="183"/>
      <c r="M32" s="183"/>
    </row>
    <row r="33" spans="1:13" ht="155.1" customHeight="1">
      <c r="A33" s="188" t="s">
        <v>218</v>
      </c>
      <c r="B33" s="184" t="s">
        <v>219</v>
      </c>
      <c r="C33" s="183" t="s">
        <v>220</v>
      </c>
      <c r="D33" s="183" t="s">
        <v>221</v>
      </c>
      <c r="E33" s="183" t="s">
        <v>222</v>
      </c>
      <c r="F33" s="183" t="s">
        <v>223</v>
      </c>
      <c r="G33" s="183" t="s">
        <v>224</v>
      </c>
      <c r="H33" s="186" t="s">
        <v>51</v>
      </c>
      <c r="I33" s="183" t="s">
        <v>225</v>
      </c>
      <c r="J33" s="183" t="s">
        <v>226</v>
      </c>
      <c r="K33" s="189" t="s">
        <v>227</v>
      </c>
      <c r="L33" s="183"/>
      <c r="M33" s="183"/>
    </row>
    <row r="34" spans="1:13" ht="62.1" customHeight="1">
      <c r="A34" s="188" t="s">
        <v>228</v>
      </c>
      <c r="B34" s="184" t="s">
        <v>219</v>
      </c>
      <c r="C34" s="183" t="s">
        <v>229</v>
      </c>
      <c r="D34" s="183" t="s">
        <v>230</v>
      </c>
      <c r="E34" s="183" t="s">
        <v>231</v>
      </c>
      <c r="F34" s="183" t="s">
        <v>231</v>
      </c>
      <c r="G34" s="183" t="s">
        <v>232</v>
      </c>
      <c r="H34" s="186" t="s">
        <v>51</v>
      </c>
      <c r="I34" s="183" t="s">
        <v>233</v>
      </c>
      <c r="J34" s="183" t="s">
        <v>234</v>
      </c>
      <c r="K34" s="189" t="s">
        <v>217</v>
      </c>
      <c r="L34" s="183"/>
      <c r="M34" s="183"/>
    </row>
    <row r="35" spans="1:13" ht="30.95" customHeight="1">
      <c r="A35" s="188" t="s">
        <v>235</v>
      </c>
      <c r="B35" s="183" t="s">
        <v>219</v>
      </c>
      <c r="C35" s="183" t="s">
        <v>236</v>
      </c>
      <c r="D35" s="183" t="s">
        <v>237</v>
      </c>
      <c r="E35" s="183" t="s">
        <v>39</v>
      </c>
      <c r="F35" s="183" t="s">
        <v>39</v>
      </c>
      <c r="G35" s="183" t="s">
        <v>39</v>
      </c>
      <c r="H35" s="185" t="s">
        <v>39</v>
      </c>
      <c r="I35" s="183" t="s">
        <v>238</v>
      </c>
      <c r="J35" s="183" t="s">
        <v>239</v>
      </c>
      <c r="K35" s="189" t="s">
        <v>240</v>
      </c>
      <c r="L35" s="183"/>
      <c r="M35" s="183"/>
    </row>
    <row r="36" spans="1:13" ht="77.45" customHeight="1">
      <c r="A36" s="188" t="s">
        <v>241</v>
      </c>
      <c r="B36" s="184" t="s">
        <v>242</v>
      </c>
      <c r="C36" s="183" t="s">
        <v>243</v>
      </c>
      <c r="D36" s="183" t="s">
        <v>244</v>
      </c>
      <c r="E36" s="183" t="s">
        <v>245</v>
      </c>
      <c r="F36" s="183" t="s">
        <v>130</v>
      </c>
      <c r="G36" s="183" t="s">
        <v>93</v>
      </c>
      <c r="H36" s="187" t="s">
        <v>93</v>
      </c>
      <c r="I36" s="183" t="s">
        <v>246</v>
      </c>
      <c r="J36" s="183" t="s">
        <v>247</v>
      </c>
      <c r="K36" s="189" t="s">
        <v>248</v>
      </c>
      <c r="L36" s="183"/>
      <c r="M36" s="183"/>
    </row>
    <row r="37" spans="1:13" ht="108.6" customHeight="1">
      <c r="A37" s="188" t="s">
        <v>249</v>
      </c>
      <c r="B37" s="184" t="s">
        <v>242</v>
      </c>
      <c r="C37" s="183" t="s">
        <v>250</v>
      </c>
      <c r="D37" s="183" t="s">
        <v>251</v>
      </c>
      <c r="E37" s="183" t="s">
        <v>252</v>
      </c>
      <c r="F37" s="183" t="s">
        <v>253</v>
      </c>
      <c r="G37" s="183" t="s">
        <v>254</v>
      </c>
      <c r="H37" s="187" t="s">
        <v>93</v>
      </c>
      <c r="I37" s="183" t="s">
        <v>255</v>
      </c>
      <c r="J37" s="183" t="s">
        <v>256</v>
      </c>
      <c r="K37" s="189" t="s">
        <v>257</v>
      </c>
      <c r="L37" s="183"/>
      <c r="M37" s="183"/>
    </row>
    <row r="38" spans="1:13" ht="101.1" customHeight="1">
      <c r="A38" s="188" t="s">
        <v>258</v>
      </c>
      <c r="B38" s="184" t="s">
        <v>242</v>
      </c>
      <c r="C38" s="183" t="s">
        <v>259</v>
      </c>
      <c r="D38" s="183" t="s">
        <v>260</v>
      </c>
      <c r="E38" s="183" t="s">
        <v>261</v>
      </c>
      <c r="F38" s="183" t="s">
        <v>130</v>
      </c>
      <c r="G38" s="183" t="s">
        <v>93</v>
      </c>
      <c r="H38" s="187" t="s">
        <v>93</v>
      </c>
      <c r="I38" s="183" t="s">
        <v>262</v>
      </c>
      <c r="J38" s="183" t="s">
        <v>263</v>
      </c>
      <c r="K38" s="189" t="s">
        <v>264</v>
      </c>
      <c r="L38" s="183"/>
      <c r="M38" s="183"/>
    </row>
    <row r="39" spans="1:13" ht="77.45" customHeight="1">
      <c r="A39" s="188" t="s">
        <v>265</v>
      </c>
      <c r="B39" s="184" t="s">
        <v>266</v>
      </c>
      <c r="C39" s="183" t="s">
        <v>267</v>
      </c>
      <c r="D39" s="183" t="s">
        <v>268</v>
      </c>
      <c r="E39" s="183" t="s">
        <v>269</v>
      </c>
      <c r="F39" s="183" t="s">
        <v>270</v>
      </c>
      <c r="G39" s="183" t="s">
        <v>93</v>
      </c>
      <c r="H39" s="187" t="s">
        <v>93</v>
      </c>
      <c r="I39" s="183" t="s">
        <v>271</v>
      </c>
      <c r="J39" s="183" t="s">
        <v>272</v>
      </c>
      <c r="K39" s="189" t="s">
        <v>273</v>
      </c>
      <c r="L39" s="183"/>
      <c r="M39" s="183"/>
    </row>
    <row r="40" spans="1:13" ht="46.5" customHeight="1">
      <c r="A40" s="188" t="s">
        <v>274</v>
      </c>
      <c r="B40" s="184" t="s">
        <v>275</v>
      </c>
      <c r="C40" s="183" t="s">
        <v>276</v>
      </c>
      <c r="D40" s="183" t="s">
        <v>277</v>
      </c>
      <c r="E40" s="183" t="s">
        <v>278</v>
      </c>
      <c r="F40" s="183" t="s">
        <v>93</v>
      </c>
      <c r="G40" s="183" t="s">
        <v>93</v>
      </c>
      <c r="H40" s="187" t="s">
        <v>93</v>
      </c>
      <c r="I40" s="183" t="s">
        <v>279</v>
      </c>
      <c r="J40" s="183" t="s">
        <v>280</v>
      </c>
      <c r="K40" s="189" t="s">
        <v>281</v>
      </c>
      <c r="L40" s="183"/>
      <c r="M40" s="183"/>
    </row>
    <row r="41" spans="1:13" ht="123.95" customHeight="1">
      <c r="A41" s="188" t="s">
        <v>282</v>
      </c>
      <c r="B41" s="184" t="s">
        <v>275</v>
      </c>
      <c r="C41" s="183" t="s">
        <v>283</v>
      </c>
      <c r="D41" s="183" t="s">
        <v>284</v>
      </c>
      <c r="E41" s="183" t="s">
        <v>285</v>
      </c>
      <c r="F41" s="183" t="s">
        <v>286</v>
      </c>
      <c r="G41" s="183" t="s">
        <v>287</v>
      </c>
      <c r="H41" s="186" t="s">
        <v>51</v>
      </c>
      <c r="I41" s="183" t="s">
        <v>103</v>
      </c>
      <c r="J41" s="183" t="s">
        <v>288</v>
      </c>
      <c r="K41" s="189" t="s">
        <v>289</v>
      </c>
      <c r="L41" s="183"/>
      <c r="M41" s="183"/>
    </row>
    <row r="42" spans="1:13" ht="93" customHeight="1">
      <c r="A42" s="188" t="s">
        <v>290</v>
      </c>
      <c r="B42" s="184" t="s">
        <v>275</v>
      </c>
      <c r="C42" s="183" t="s">
        <v>291</v>
      </c>
      <c r="D42" s="183" t="s">
        <v>292</v>
      </c>
      <c r="E42" s="183" t="s">
        <v>93</v>
      </c>
      <c r="F42" s="183" t="s">
        <v>93</v>
      </c>
      <c r="G42" s="183" t="s">
        <v>293</v>
      </c>
      <c r="H42" s="187" t="s">
        <v>93</v>
      </c>
      <c r="I42" s="183" t="s">
        <v>294</v>
      </c>
      <c r="J42" s="183" t="s">
        <v>295</v>
      </c>
      <c r="K42" s="189" t="s">
        <v>296</v>
      </c>
      <c r="L42" s="183"/>
      <c r="M42" s="183"/>
    </row>
    <row r="43" spans="1:13" ht="77.45" customHeight="1">
      <c r="A43" s="188" t="s">
        <v>297</v>
      </c>
      <c r="B43" s="184" t="s">
        <v>275</v>
      </c>
      <c r="C43" s="183" t="s">
        <v>298</v>
      </c>
      <c r="D43" s="183" t="s">
        <v>299</v>
      </c>
      <c r="E43" s="183" t="s">
        <v>93</v>
      </c>
      <c r="F43" s="183" t="s">
        <v>93</v>
      </c>
      <c r="G43" s="183" t="s">
        <v>300</v>
      </c>
      <c r="H43" s="187" t="s">
        <v>93</v>
      </c>
      <c r="I43" s="183" t="s">
        <v>301</v>
      </c>
      <c r="J43" s="183" t="s">
        <v>302</v>
      </c>
      <c r="K43" s="189" t="s">
        <v>303</v>
      </c>
      <c r="L43" s="183"/>
      <c r="M43" s="183"/>
    </row>
    <row r="44" spans="1:13" ht="30.95" customHeight="1">
      <c r="A44" s="190" t="s">
        <v>304</v>
      </c>
      <c r="B44" s="191" t="s">
        <v>275</v>
      </c>
      <c r="C44" s="192" t="s">
        <v>305</v>
      </c>
      <c r="D44" s="192" t="s">
        <v>306</v>
      </c>
      <c r="E44" s="192" t="s">
        <v>307</v>
      </c>
      <c r="F44" s="192" t="s">
        <v>130</v>
      </c>
      <c r="G44" s="192" t="s">
        <v>130</v>
      </c>
      <c r="H44" s="193" t="s">
        <v>93</v>
      </c>
      <c r="I44" s="192" t="s">
        <v>308</v>
      </c>
      <c r="J44" s="192" t="s">
        <v>309</v>
      </c>
      <c r="K44" s="194" t="s">
        <v>310</v>
      </c>
      <c r="L44" s="192"/>
      <c r="M44" s="192"/>
    </row>
    <row r="46" spans="1:13">
      <c r="A46" s="180"/>
    </row>
  </sheetData>
  <mergeCells count="1">
    <mergeCell ref="A1:H10"/>
  </mergeCells>
  <pageMargins left="0.75" right="0.75" top="1" bottom="1" header="0.5" footer="0.5"/>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8" tint="0.39997558519241921"/>
  </sheetPr>
  <dimension ref="A1"/>
  <sheetViews>
    <sheetView workbookViewId="0">
      <selection activeCell="N36" sqref="N36"/>
    </sheetView>
  </sheetViews>
  <sheetFormatPr defaultColWidth="11" defaultRowHeight="15.9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4:K38"/>
  <sheetViews>
    <sheetView topLeftCell="A9" workbookViewId="0">
      <selection activeCell="B41" sqref="B41"/>
    </sheetView>
  </sheetViews>
  <sheetFormatPr defaultColWidth="11" defaultRowHeight="15.95"/>
  <cols>
    <col min="2" max="2" width="90.5" customWidth="1"/>
    <col min="3" max="3" width="54.375" customWidth="1"/>
    <col min="4" max="4" width="52.125" customWidth="1"/>
    <col min="5" max="5" width="51" customWidth="1"/>
    <col min="6" max="6" width="24" customWidth="1"/>
    <col min="7" max="7" width="24.375" customWidth="1"/>
    <col min="8" max="8" width="45.625" customWidth="1"/>
    <col min="9" max="9" width="32.625" customWidth="1"/>
    <col min="10" max="11" width="24" customWidth="1"/>
  </cols>
  <sheetData>
    <row r="14" spans="1:11">
      <c r="A14" s="6" t="s">
        <v>311</v>
      </c>
      <c r="B14" s="6" t="s">
        <v>312</v>
      </c>
      <c r="C14" s="6" t="s">
        <v>313</v>
      </c>
      <c r="D14" s="6" t="s">
        <v>314</v>
      </c>
      <c r="E14" s="6" t="s">
        <v>315</v>
      </c>
      <c r="F14" s="6" t="s">
        <v>316</v>
      </c>
      <c r="G14" s="6" t="s">
        <v>317</v>
      </c>
      <c r="H14" s="6" t="s">
        <v>318</v>
      </c>
      <c r="I14" s="6" t="s">
        <v>319</v>
      </c>
      <c r="J14" s="6" t="s">
        <v>320</v>
      </c>
      <c r="K14" s="6" t="s">
        <v>321</v>
      </c>
    </row>
    <row r="15" spans="1:11">
      <c r="A15" t="s">
        <v>34</v>
      </c>
      <c r="B15" s="9" t="s">
        <v>322</v>
      </c>
      <c r="C15" t="s">
        <v>323</v>
      </c>
      <c r="E15" t="s">
        <v>324</v>
      </c>
      <c r="F15" t="s">
        <v>325</v>
      </c>
      <c r="G15" t="s">
        <v>326</v>
      </c>
      <c r="H15" t="s">
        <v>327</v>
      </c>
      <c r="I15" t="s">
        <v>328</v>
      </c>
      <c r="J15" t="s">
        <v>329</v>
      </c>
      <c r="K15" t="s">
        <v>330</v>
      </c>
    </row>
    <row r="16" spans="1:11">
      <c r="A16" t="s">
        <v>331</v>
      </c>
      <c r="B16" s="16" t="s">
        <v>332</v>
      </c>
      <c r="C16" t="s">
        <v>333</v>
      </c>
      <c r="E16" t="s">
        <v>334</v>
      </c>
      <c r="F16" t="s">
        <v>335</v>
      </c>
      <c r="G16" t="s">
        <v>336</v>
      </c>
      <c r="H16" t="s">
        <v>337</v>
      </c>
      <c r="I16" t="s">
        <v>338</v>
      </c>
      <c r="J16" t="s">
        <v>39</v>
      </c>
      <c r="K16" t="s">
        <v>339</v>
      </c>
    </row>
    <row r="17" spans="1:11">
      <c r="A17" t="s">
        <v>340</v>
      </c>
      <c r="B17" s="9" t="s">
        <v>341</v>
      </c>
      <c r="C17" t="s">
        <v>342</v>
      </c>
      <c r="E17" t="s">
        <v>342</v>
      </c>
      <c r="F17" t="s">
        <v>343</v>
      </c>
      <c r="G17" t="s">
        <v>336</v>
      </c>
      <c r="H17" t="s">
        <v>344</v>
      </c>
      <c r="I17" t="s">
        <v>345</v>
      </c>
      <c r="J17" t="s">
        <v>93</v>
      </c>
      <c r="K17" t="s">
        <v>339</v>
      </c>
    </row>
    <row r="18" spans="1:11">
      <c r="A18" t="s">
        <v>346</v>
      </c>
      <c r="B18" s="9" t="s">
        <v>347</v>
      </c>
      <c r="C18" t="s">
        <v>348</v>
      </c>
      <c r="E18" t="s">
        <v>348</v>
      </c>
      <c r="F18" t="s">
        <v>349</v>
      </c>
      <c r="G18" t="s">
        <v>336</v>
      </c>
      <c r="H18" t="s">
        <v>350</v>
      </c>
      <c r="I18" t="s">
        <v>351</v>
      </c>
      <c r="J18" t="s">
        <v>93</v>
      </c>
      <c r="K18" t="s">
        <v>352</v>
      </c>
    </row>
    <row r="19" spans="1:11">
      <c r="A19" t="s">
        <v>353</v>
      </c>
      <c r="B19" s="9" t="s">
        <v>354</v>
      </c>
      <c r="C19" t="s">
        <v>355</v>
      </c>
      <c r="D19" t="s">
        <v>356</v>
      </c>
      <c r="E19" t="s">
        <v>357</v>
      </c>
      <c r="F19" t="s">
        <v>358</v>
      </c>
      <c r="G19" t="s">
        <v>336</v>
      </c>
      <c r="H19" t="s">
        <v>359</v>
      </c>
      <c r="I19" t="s">
        <v>360</v>
      </c>
      <c r="J19" t="s">
        <v>93</v>
      </c>
      <c r="K19" t="s">
        <v>330</v>
      </c>
    </row>
    <row r="20" spans="1:11">
      <c r="A20" t="s">
        <v>361</v>
      </c>
      <c r="B20" s="9" t="s">
        <v>362</v>
      </c>
      <c r="C20" t="s">
        <v>363</v>
      </c>
      <c r="D20" t="s">
        <v>364</v>
      </c>
      <c r="E20" t="s">
        <v>363</v>
      </c>
      <c r="F20" t="s">
        <v>365</v>
      </c>
      <c r="G20" t="s">
        <v>336</v>
      </c>
      <c r="H20" t="s">
        <v>366</v>
      </c>
      <c r="I20" t="s">
        <v>367</v>
      </c>
      <c r="J20" t="s">
        <v>93</v>
      </c>
      <c r="K20" t="s">
        <v>330</v>
      </c>
    </row>
    <row r="21" spans="1:11">
      <c r="A21" t="s">
        <v>368</v>
      </c>
      <c r="B21" s="9" t="s">
        <v>369</v>
      </c>
      <c r="C21" t="s">
        <v>370</v>
      </c>
      <c r="D21" t="s">
        <v>356</v>
      </c>
      <c r="E21" t="s">
        <v>371</v>
      </c>
      <c r="F21" t="s">
        <v>372</v>
      </c>
      <c r="G21" t="s">
        <v>336</v>
      </c>
      <c r="H21" t="s">
        <v>373</v>
      </c>
      <c r="I21" t="s">
        <v>374</v>
      </c>
      <c r="J21" t="s">
        <v>375</v>
      </c>
      <c r="K21" t="s">
        <v>330</v>
      </c>
    </row>
    <row r="22" spans="1:11">
      <c r="A22" t="s">
        <v>376</v>
      </c>
      <c r="B22" s="9" t="s">
        <v>377</v>
      </c>
      <c r="C22" t="s">
        <v>378</v>
      </c>
      <c r="D22" t="s">
        <v>379</v>
      </c>
      <c r="E22" t="s">
        <v>378</v>
      </c>
      <c r="F22" t="s">
        <v>380</v>
      </c>
      <c r="G22" t="s">
        <v>336</v>
      </c>
      <c r="H22" t="s">
        <v>381</v>
      </c>
      <c r="I22" t="s">
        <v>382</v>
      </c>
      <c r="J22" t="s">
        <v>93</v>
      </c>
      <c r="K22" t="s">
        <v>330</v>
      </c>
    </row>
    <row r="23" spans="1:11">
      <c r="A23" t="s">
        <v>383</v>
      </c>
      <c r="B23" s="9" t="s">
        <v>384</v>
      </c>
      <c r="C23" t="s">
        <v>385</v>
      </c>
      <c r="D23" t="s">
        <v>386</v>
      </c>
      <c r="E23" t="s">
        <v>385</v>
      </c>
      <c r="F23" t="s">
        <v>358</v>
      </c>
      <c r="G23" t="s">
        <v>387</v>
      </c>
      <c r="H23" t="s">
        <v>388</v>
      </c>
      <c r="I23" t="s">
        <v>389</v>
      </c>
      <c r="J23" t="s">
        <v>93</v>
      </c>
      <c r="K23" t="s">
        <v>390</v>
      </c>
    </row>
    <row r="24" spans="1:11">
      <c r="A24" t="s">
        <v>391</v>
      </c>
      <c r="B24" s="9" t="s">
        <v>392</v>
      </c>
      <c r="C24" t="s">
        <v>393</v>
      </c>
      <c r="D24" t="s">
        <v>394</v>
      </c>
      <c r="E24" t="s">
        <v>393</v>
      </c>
      <c r="F24" t="s">
        <v>395</v>
      </c>
      <c r="G24" t="s">
        <v>396</v>
      </c>
      <c r="H24" t="s">
        <v>397</v>
      </c>
      <c r="I24" t="s">
        <v>398</v>
      </c>
      <c r="J24" t="s">
        <v>93</v>
      </c>
      <c r="K24" t="s">
        <v>339</v>
      </c>
    </row>
    <row r="25" spans="1:11">
      <c r="A25" t="s">
        <v>399</v>
      </c>
      <c r="B25" s="9" t="s">
        <v>400</v>
      </c>
      <c r="C25" t="s">
        <v>401</v>
      </c>
      <c r="D25" t="s">
        <v>402</v>
      </c>
      <c r="E25" t="s">
        <v>401</v>
      </c>
      <c r="F25" t="s">
        <v>372</v>
      </c>
      <c r="G25" t="s">
        <v>326</v>
      </c>
      <c r="H25" t="s">
        <v>403</v>
      </c>
      <c r="I25" t="s">
        <v>404</v>
      </c>
      <c r="J25" t="s">
        <v>93</v>
      </c>
      <c r="K25" t="s">
        <v>330</v>
      </c>
    </row>
    <row r="26" spans="1:11">
      <c r="A26" t="s">
        <v>405</v>
      </c>
      <c r="B26" s="9" t="s">
        <v>406</v>
      </c>
      <c r="C26" t="s">
        <v>407</v>
      </c>
      <c r="D26" t="s">
        <v>402</v>
      </c>
      <c r="E26" t="s">
        <v>407</v>
      </c>
      <c r="F26" t="s">
        <v>408</v>
      </c>
      <c r="G26" t="s">
        <v>336</v>
      </c>
      <c r="H26" t="s">
        <v>409</v>
      </c>
      <c r="I26" t="s">
        <v>404</v>
      </c>
      <c r="J26" t="s">
        <v>93</v>
      </c>
      <c r="K26" t="s">
        <v>330</v>
      </c>
    </row>
    <row r="27" spans="1:11">
      <c r="A27" t="s">
        <v>410</v>
      </c>
      <c r="B27" s="9" t="s">
        <v>411</v>
      </c>
      <c r="C27" t="s">
        <v>412</v>
      </c>
      <c r="D27" t="s">
        <v>413</v>
      </c>
      <c r="E27" t="s">
        <v>412</v>
      </c>
      <c r="F27" t="s">
        <v>372</v>
      </c>
      <c r="G27" t="s">
        <v>336</v>
      </c>
      <c r="H27" t="s">
        <v>414</v>
      </c>
      <c r="I27" t="s">
        <v>415</v>
      </c>
      <c r="J27" t="s">
        <v>375</v>
      </c>
      <c r="K27" t="s">
        <v>330</v>
      </c>
    </row>
    <row r="28" spans="1:11">
      <c r="A28" t="s">
        <v>416</v>
      </c>
      <c r="B28" s="9" t="s">
        <v>417</v>
      </c>
      <c r="C28" t="s">
        <v>418</v>
      </c>
      <c r="D28" t="s">
        <v>419</v>
      </c>
      <c r="E28" t="s">
        <v>418</v>
      </c>
      <c r="F28" t="s">
        <v>365</v>
      </c>
      <c r="G28" t="s">
        <v>387</v>
      </c>
      <c r="H28" t="s">
        <v>420</v>
      </c>
      <c r="I28" t="s">
        <v>421</v>
      </c>
      <c r="J28" t="s">
        <v>93</v>
      </c>
      <c r="K28" t="s">
        <v>339</v>
      </c>
    </row>
    <row r="29" spans="1:11">
      <c r="A29" t="s">
        <v>422</v>
      </c>
      <c r="B29" s="9" t="s">
        <v>406</v>
      </c>
      <c r="C29" t="s">
        <v>407</v>
      </c>
      <c r="D29" t="s">
        <v>423</v>
      </c>
      <c r="E29" t="s">
        <v>407</v>
      </c>
      <c r="F29" t="s">
        <v>408</v>
      </c>
      <c r="G29" t="s">
        <v>336</v>
      </c>
      <c r="H29" t="s">
        <v>424</v>
      </c>
      <c r="I29" t="s">
        <v>404</v>
      </c>
      <c r="J29" t="s">
        <v>93</v>
      </c>
      <c r="K29" t="s">
        <v>330</v>
      </c>
    </row>
    <row r="30" spans="1:11">
      <c r="A30" t="s">
        <v>425</v>
      </c>
      <c r="B30" s="9" t="s">
        <v>426</v>
      </c>
      <c r="C30" t="s">
        <v>427</v>
      </c>
      <c r="D30" t="s">
        <v>428</v>
      </c>
      <c r="E30" t="s">
        <v>429</v>
      </c>
      <c r="F30" t="s">
        <v>430</v>
      </c>
      <c r="G30" t="s">
        <v>431</v>
      </c>
      <c r="H30" t="s">
        <v>432</v>
      </c>
      <c r="I30" t="s">
        <v>433</v>
      </c>
      <c r="J30" t="s">
        <v>93</v>
      </c>
      <c r="K30" t="s">
        <v>339</v>
      </c>
    </row>
    <row r="31" spans="1:11">
      <c r="A31" t="s">
        <v>434</v>
      </c>
      <c r="B31" s="9" t="s">
        <v>435</v>
      </c>
      <c r="C31" t="s">
        <v>436</v>
      </c>
      <c r="D31" t="s">
        <v>437</v>
      </c>
      <c r="E31" t="s">
        <v>436</v>
      </c>
      <c r="F31" t="s">
        <v>365</v>
      </c>
      <c r="G31" t="s">
        <v>438</v>
      </c>
      <c r="H31" t="s">
        <v>439</v>
      </c>
      <c r="I31" t="s">
        <v>440</v>
      </c>
      <c r="J31" t="s">
        <v>93</v>
      </c>
      <c r="K31" t="s">
        <v>339</v>
      </c>
    </row>
    <row r="32" spans="1:11">
      <c r="A32" t="s">
        <v>441</v>
      </c>
      <c r="B32" s="9" t="s">
        <v>442</v>
      </c>
      <c r="C32" t="s">
        <v>443</v>
      </c>
      <c r="D32" t="s">
        <v>444</v>
      </c>
      <c r="E32" t="s">
        <v>443</v>
      </c>
      <c r="F32" t="s">
        <v>445</v>
      </c>
      <c r="G32" t="s">
        <v>438</v>
      </c>
      <c r="H32" t="s">
        <v>446</v>
      </c>
      <c r="I32" t="s">
        <v>447</v>
      </c>
      <c r="J32" t="s">
        <v>448</v>
      </c>
      <c r="K32" t="s">
        <v>339</v>
      </c>
    </row>
    <row r="33" spans="1:11">
      <c r="A33" t="s">
        <v>449</v>
      </c>
      <c r="B33" s="9" t="s">
        <v>450</v>
      </c>
      <c r="C33" t="s">
        <v>451</v>
      </c>
      <c r="D33" t="s">
        <v>452</v>
      </c>
      <c r="E33" t="s">
        <v>451</v>
      </c>
      <c r="F33" t="s">
        <v>408</v>
      </c>
      <c r="G33" t="s">
        <v>336</v>
      </c>
      <c r="H33" t="s">
        <v>453</v>
      </c>
      <c r="I33" t="s">
        <v>454</v>
      </c>
      <c r="J33" t="s">
        <v>39</v>
      </c>
      <c r="K33" t="s">
        <v>330</v>
      </c>
    </row>
    <row r="34" spans="1:11">
      <c r="A34" t="s">
        <v>455</v>
      </c>
      <c r="B34" s="9" t="s">
        <v>456</v>
      </c>
      <c r="C34" t="s">
        <v>457</v>
      </c>
      <c r="D34" t="s">
        <v>458</v>
      </c>
      <c r="E34" t="s">
        <v>457</v>
      </c>
      <c r="F34" t="s">
        <v>365</v>
      </c>
      <c r="G34" t="s">
        <v>336</v>
      </c>
      <c r="H34" t="s">
        <v>459</v>
      </c>
      <c r="I34" t="s">
        <v>460</v>
      </c>
      <c r="J34" t="s">
        <v>39</v>
      </c>
      <c r="K34" t="s">
        <v>330</v>
      </c>
    </row>
    <row r="35" spans="1:11">
      <c r="A35" t="s">
        <v>461</v>
      </c>
      <c r="B35" s="9" t="s">
        <v>462</v>
      </c>
      <c r="C35" t="s">
        <v>463</v>
      </c>
      <c r="D35" t="s">
        <v>464</v>
      </c>
      <c r="E35" t="s">
        <v>463</v>
      </c>
      <c r="F35" t="s">
        <v>465</v>
      </c>
      <c r="G35" t="s">
        <v>466</v>
      </c>
      <c r="H35" t="s">
        <v>467</v>
      </c>
      <c r="I35" t="s">
        <v>468</v>
      </c>
      <c r="J35" t="s">
        <v>93</v>
      </c>
      <c r="K35" t="s">
        <v>339</v>
      </c>
    </row>
    <row r="36" spans="1:11">
      <c r="A36" t="s">
        <v>45</v>
      </c>
      <c r="B36" s="9" t="s">
        <v>469</v>
      </c>
      <c r="C36" t="s">
        <v>470</v>
      </c>
      <c r="E36" t="s">
        <v>470</v>
      </c>
      <c r="F36" t="s">
        <v>372</v>
      </c>
      <c r="G36" t="s">
        <v>471</v>
      </c>
      <c r="H36" t="s">
        <v>472</v>
      </c>
      <c r="I36" t="s">
        <v>473</v>
      </c>
      <c r="J36" t="s">
        <v>474</v>
      </c>
      <c r="K36" t="s">
        <v>330</v>
      </c>
    </row>
    <row r="37" spans="1:11">
      <c r="A37" t="s">
        <v>56</v>
      </c>
      <c r="B37" s="9" t="s">
        <v>475</v>
      </c>
      <c r="C37" t="s">
        <v>476</v>
      </c>
      <c r="E37" t="s">
        <v>477</v>
      </c>
      <c r="F37" t="s">
        <v>372</v>
      </c>
      <c r="G37" t="s">
        <v>471</v>
      </c>
      <c r="H37" t="s">
        <v>478</v>
      </c>
      <c r="I37" t="s">
        <v>479</v>
      </c>
      <c r="J37" t="s">
        <v>474</v>
      </c>
      <c r="K37" t="s">
        <v>330</v>
      </c>
    </row>
    <row r="38" spans="1:11">
      <c r="A38" t="s">
        <v>66</v>
      </c>
      <c r="B38" s="9" t="s">
        <v>480</v>
      </c>
      <c r="C38" t="s">
        <v>481</v>
      </c>
      <c r="E38" t="s">
        <v>482</v>
      </c>
      <c r="F38" t="s">
        <v>349</v>
      </c>
      <c r="G38" t="s">
        <v>471</v>
      </c>
      <c r="H38" t="s">
        <v>483</v>
      </c>
      <c r="I38" t="s">
        <v>484</v>
      </c>
      <c r="J38" t="s">
        <v>93</v>
      </c>
      <c r="K38" t="s">
        <v>339</v>
      </c>
    </row>
  </sheetData>
  <hyperlinks>
    <hyperlink ref="B16" r:id="rId1" location="!/view?docid=c650ce09-e07a-4894-bb68-8acb99e539a7" xr:uid="{00000000-0004-0000-0300-000000000000}"/>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0:Q33"/>
  <sheetViews>
    <sheetView workbookViewId="0">
      <selection activeCell="D21" sqref="D21:D33"/>
    </sheetView>
  </sheetViews>
  <sheetFormatPr defaultColWidth="11" defaultRowHeight="15.95"/>
  <cols>
    <col min="3" max="3" width="22.5" customWidth="1"/>
    <col min="5" max="5" width="29" customWidth="1"/>
    <col min="7" max="7" width="28.125" customWidth="1"/>
    <col min="8" max="8" width="17.625" customWidth="1"/>
    <col min="10" max="10" width="17.5" customWidth="1"/>
    <col min="11" max="11" width="15.125" customWidth="1"/>
    <col min="13" max="13" width="11.625" customWidth="1"/>
    <col min="14" max="14" width="42.875" customWidth="1"/>
    <col min="15" max="15" width="19.125" customWidth="1"/>
    <col min="16" max="16" width="22.375" customWidth="1"/>
    <col min="17" max="17" width="21.875" customWidth="1"/>
  </cols>
  <sheetData>
    <row r="10" spans="2:17" ht="17.100000000000001" customHeight="1" thickBot="1"/>
    <row r="11" spans="2:17" ht="17.100000000000001" customHeight="1" thickBot="1">
      <c r="O11" s="213" t="s">
        <v>485</v>
      </c>
      <c r="P11" s="216"/>
      <c r="Q11" s="217"/>
    </row>
    <row r="12" spans="2:17">
      <c r="O12" s="8"/>
      <c r="P12" s="8"/>
      <c r="Q12" s="8"/>
    </row>
    <row r="13" spans="2:17" ht="36" customHeight="1">
      <c r="D13" s="10" t="s">
        <v>22</v>
      </c>
      <c r="E13" s="10" t="s">
        <v>23</v>
      </c>
      <c r="F13" s="10" t="s">
        <v>486</v>
      </c>
      <c r="G13" s="10" t="s">
        <v>487</v>
      </c>
      <c r="H13" s="10" t="s">
        <v>488</v>
      </c>
      <c r="I13" s="10" t="s">
        <v>489</v>
      </c>
      <c r="J13" s="10" t="s">
        <v>320</v>
      </c>
      <c r="K13" s="10" t="s">
        <v>490</v>
      </c>
      <c r="L13" s="10" t="s">
        <v>491</v>
      </c>
      <c r="M13" s="10" t="s">
        <v>492</v>
      </c>
      <c r="N13" s="10" t="s">
        <v>493</v>
      </c>
      <c r="O13" s="10" t="s">
        <v>494</v>
      </c>
      <c r="P13" s="10" t="s">
        <v>495</v>
      </c>
      <c r="Q13" s="10" t="s">
        <v>496</v>
      </c>
    </row>
    <row r="14" spans="2:17" s="7" customFormat="1" ht="102" customHeight="1">
      <c r="C14" s="7" t="s">
        <v>497</v>
      </c>
      <c r="D14" s="7">
        <v>1</v>
      </c>
      <c r="E14" s="7" t="s">
        <v>498</v>
      </c>
      <c r="F14" s="7">
        <v>1</v>
      </c>
      <c r="G14" s="7" t="s">
        <v>499</v>
      </c>
      <c r="H14" s="7" t="s">
        <v>500</v>
      </c>
      <c r="I14" s="7" t="s">
        <v>501</v>
      </c>
      <c r="J14" s="7" t="s">
        <v>93</v>
      </c>
      <c r="L14" s="7" t="s">
        <v>336</v>
      </c>
      <c r="M14" s="7" t="s">
        <v>502</v>
      </c>
    </row>
    <row r="15" spans="2:17">
      <c r="B15" s="141" t="s">
        <v>503</v>
      </c>
    </row>
    <row r="16" spans="2:17">
      <c r="B16" s="140" t="s">
        <v>504</v>
      </c>
    </row>
    <row r="17" spans="2:16">
      <c r="B17" s="139" t="s">
        <v>505</v>
      </c>
    </row>
    <row r="21" spans="2:16" ht="77.25" customHeight="1">
      <c r="D21" s="212" t="s">
        <v>506</v>
      </c>
      <c r="E21" s="144" t="s">
        <v>507</v>
      </c>
      <c r="F21" s="19">
        <v>1</v>
      </c>
      <c r="G21" s="19" t="s">
        <v>508</v>
      </c>
      <c r="H21" s="19"/>
      <c r="I21" s="19" t="s">
        <v>509</v>
      </c>
      <c r="J21" s="19"/>
      <c r="K21" s="19"/>
      <c r="L21" s="19"/>
      <c r="M21" s="21" t="s">
        <v>510</v>
      </c>
      <c r="N21" s="19"/>
      <c r="O21" s="19"/>
      <c r="P21" s="19"/>
    </row>
    <row r="22" spans="2:16" ht="51" customHeight="1">
      <c r="D22" s="215"/>
      <c r="E22" s="144"/>
      <c r="F22" s="19">
        <v>2</v>
      </c>
      <c r="G22" s="19" t="s">
        <v>511</v>
      </c>
      <c r="H22" s="19"/>
      <c r="I22" s="19" t="s">
        <v>512</v>
      </c>
      <c r="J22" s="19"/>
      <c r="K22" s="19"/>
      <c r="L22" s="19"/>
      <c r="M22" s="20"/>
      <c r="N22" s="19"/>
      <c r="O22" s="19"/>
      <c r="P22" s="19"/>
    </row>
    <row r="23" spans="2:16" ht="84.95" customHeight="1">
      <c r="D23" s="215"/>
      <c r="E23" s="144" t="s">
        <v>513</v>
      </c>
      <c r="F23" s="19">
        <v>3</v>
      </c>
      <c r="G23" s="19" t="s">
        <v>514</v>
      </c>
      <c r="H23" s="22" t="s">
        <v>515</v>
      </c>
      <c r="I23" s="19" t="s">
        <v>509</v>
      </c>
      <c r="J23" s="19"/>
      <c r="K23" s="19"/>
      <c r="L23" s="19"/>
      <c r="M23" s="21" t="s">
        <v>516</v>
      </c>
      <c r="N23" s="19"/>
      <c r="O23" s="19"/>
      <c r="P23" s="19"/>
    </row>
    <row r="24" spans="2:16" ht="135.94999999999999" customHeight="1">
      <c r="D24" s="215"/>
      <c r="E24" s="144" t="s">
        <v>517</v>
      </c>
      <c r="F24" s="19">
        <v>4</v>
      </c>
      <c r="G24" s="19" t="s">
        <v>518</v>
      </c>
      <c r="H24" s="19" t="s">
        <v>519</v>
      </c>
      <c r="I24" s="19" t="s">
        <v>509</v>
      </c>
      <c r="J24" s="19"/>
      <c r="K24" s="19"/>
      <c r="L24" s="19"/>
      <c r="M24" s="20"/>
      <c r="N24" s="19"/>
      <c r="O24" s="19"/>
      <c r="P24" s="19"/>
    </row>
    <row r="25" spans="2:16" ht="84.95" customHeight="1">
      <c r="D25" s="215"/>
      <c r="E25" s="144" t="s">
        <v>520</v>
      </c>
      <c r="F25" s="19">
        <v>5</v>
      </c>
      <c r="G25" s="19" t="s">
        <v>521</v>
      </c>
      <c r="H25" s="19" t="s">
        <v>522</v>
      </c>
      <c r="I25" s="19" t="s">
        <v>512</v>
      </c>
      <c r="J25" s="19"/>
      <c r="K25" s="19"/>
      <c r="L25" s="19"/>
      <c r="M25" s="20"/>
      <c r="N25" s="19"/>
      <c r="O25" s="19"/>
      <c r="P25" s="19"/>
    </row>
    <row r="26" spans="2:16" ht="51" customHeight="1">
      <c r="D26" s="215"/>
      <c r="E26" s="144" t="s">
        <v>523</v>
      </c>
      <c r="F26" s="19">
        <v>6</v>
      </c>
      <c r="G26" s="137" t="s">
        <v>524</v>
      </c>
      <c r="H26" s="19" t="s">
        <v>525</v>
      </c>
      <c r="I26" s="142" t="s">
        <v>526</v>
      </c>
      <c r="J26" s="19"/>
      <c r="K26" s="19"/>
      <c r="L26" s="19"/>
      <c r="M26" s="20"/>
      <c r="N26" s="19"/>
      <c r="O26" s="19"/>
      <c r="P26" s="19"/>
    </row>
    <row r="27" spans="2:16" ht="68.099999999999994" customHeight="1">
      <c r="D27" s="215"/>
      <c r="E27" s="145" t="s">
        <v>527</v>
      </c>
      <c r="F27" s="19">
        <v>7</v>
      </c>
      <c r="G27" s="138" t="s">
        <v>528</v>
      </c>
      <c r="H27" s="19"/>
      <c r="I27" s="19"/>
      <c r="J27" s="19"/>
      <c r="K27" s="19"/>
      <c r="L27" s="19"/>
      <c r="M27" s="21" t="s">
        <v>529</v>
      </c>
      <c r="N27" s="19"/>
      <c r="O27" s="19"/>
      <c r="P27" s="19"/>
    </row>
    <row r="28" spans="2:16" ht="84.95" customHeight="1">
      <c r="D28" s="215"/>
      <c r="E28" s="145" t="s">
        <v>527</v>
      </c>
      <c r="F28" s="23" t="s">
        <v>530</v>
      </c>
      <c r="G28" s="19" t="s">
        <v>531</v>
      </c>
      <c r="H28" s="136" t="s">
        <v>532</v>
      </c>
      <c r="I28" s="19" t="s">
        <v>533</v>
      </c>
      <c r="J28" s="19"/>
      <c r="K28" s="19"/>
      <c r="L28" s="19"/>
      <c r="M28" s="20"/>
      <c r="N28" s="19"/>
      <c r="O28" s="19"/>
      <c r="P28" s="19"/>
    </row>
    <row r="29" spans="2:16" ht="170.1" customHeight="1">
      <c r="D29" s="215"/>
      <c r="E29" s="144" t="s">
        <v>534</v>
      </c>
      <c r="F29" s="19">
        <v>8</v>
      </c>
      <c r="G29" s="19" t="s">
        <v>535</v>
      </c>
      <c r="H29" s="22" t="s">
        <v>536</v>
      </c>
      <c r="I29" s="143" t="s">
        <v>537</v>
      </c>
      <c r="J29" s="19"/>
      <c r="K29" s="19"/>
      <c r="L29" s="19"/>
      <c r="M29" s="20"/>
      <c r="N29" s="19"/>
      <c r="O29" s="19"/>
      <c r="P29" s="19"/>
    </row>
    <row r="30" spans="2:16" ht="153" customHeight="1">
      <c r="D30" s="215"/>
      <c r="E30" s="144" t="s">
        <v>538</v>
      </c>
      <c r="F30" s="19">
        <v>9</v>
      </c>
      <c r="G30" s="19" t="s">
        <v>539</v>
      </c>
      <c r="H30" s="19" t="s">
        <v>540</v>
      </c>
      <c r="I30" s="143" t="s">
        <v>537</v>
      </c>
      <c r="J30" s="19"/>
      <c r="K30" s="19"/>
      <c r="L30" s="19"/>
      <c r="M30" s="20"/>
      <c r="N30" s="19"/>
      <c r="O30" s="19"/>
      <c r="P30" s="19"/>
    </row>
    <row r="31" spans="2:16" ht="51" customHeight="1">
      <c r="D31" s="215"/>
      <c r="E31" s="144" t="s">
        <v>541</v>
      </c>
      <c r="F31" s="19">
        <v>10</v>
      </c>
      <c r="G31" s="19" t="s">
        <v>542</v>
      </c>
      <c r="H31" s="19"/>
      <c r="I31" s="143" t="s">
        <v>537</v>
      </c>
      <c r="J31" s="19"/>
      <c r="K31" s="19"/>
      <c r="L31" s="19"/>
      <c r="M31" s="20"/>
      <c r="N31" s="19"/>
      <c r="O31" s="19"/>
      <c r="P31" s="19"/>
    </row>
    <row r="32" spans="2:16" ht="51" customHeight="1">
      <c r="D32" s="215"/>
      <c r="E32" s="144" t="s">
        <v>541</v>
      </c>
      <c r="F32" s="19">
        <v>11</v>
      </c>
      <c r="G32" s="19" t="s">
        <v>543</v>
      </c>
      <c r="H32" s="19"/>
      <c r="I32" s="143" t="s">
        <v>537</v>
      </c>
      <c r="J32" s="19"/>
      <c r="K32" s="19"/>
      <c r="L32" s="19"/>
      <c r="M32" s="20"/>
      <c r="N32" s="19"/>
      <c r="O32" s="19"/>
      <c r="P32" s="19"/>
    </row>
    <row r="33" spans="4:16" ht="51" customHeight="1">
      <c r="D33" s="215"/>
      <c r="E33" s="144" t="s">
        <v>541</v>
      </c>
      <c r="F33" s="19">
        <v>12</v>
      </c>
      <c r="G33" s="19" t="s">
        <v>544</v>
      </c>
      <c r="H33" s="19"/>
      <c r="I33" s="143" t="s">
        <v>537</v>
      </c>
      <c r="J33" s="19"/>
      <c r="K33" s="19"/>
      <c r="L33" s="19"/>
      <c r="M33" s="20"/>
      <c r="N33" s="19"/>
      <c r="O33" s="19"/>
      <c r="P33" s="19"/>
    </row>
  </sheetData>
  <mergeCells count="2">
    <mergeCell ref="D21:D33"/>
    <mergeCell ref="O11:Q11"/>
  </mergeCells>
  <hyperlinks>
    <hyperlink ref="M21" r:id="rId1" location="!/view?docid=aa12cac0-21e7-4b9b-bbec-281ab997d694" display="https://thesource.cvshealth.com/nuxeo/thesource/#!/view?docid=aa12cac0-21e7-4b9b-bbec-281ab997d694" xr:uid="{00000000-0004-0000-0100-000000000000}"/>
    <hyperlink ref="M23" r:id="rId2" location="!/view?docid=f3d54724-6ec1-48a8-929d-c7342b4c250d" display="https://thesource.cvshealth.com/nuxeo/thesource/#!/view?docid=f3d54724-6ec1-48a8-929d-c7342b4c250d" xr:uid="{00000000-0004-0000-0100-000001000000}"/>
    <hyperlink ref="M27" r:id="rId3" location="!/view?docid=e281d3f4-4b20-4c72-ae45-cf586fe10b74" xr:uid="{00000000-0004-0000-0100-000002000000}"/>
  </hyperlinks>
  <pageMargins left="0.7" right="0.7" top="0.75" bottom="0.75" header="0.3" footer="0.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C4:S80"/>
  <sheetViews>
    <sheetView workbookViewId="0">
      <selection activeCell="L40" sqref="L40"/>
    </sheetView>
  </sheetViews>
  <sheetFormatPr defaultColWidth="11" defaultRowHeight="15.95"/>
  <cols>
    <col min="4" max="4" width="42.875" customWidth="1"/>
    <col min="5" max="5" width="18.375" customWidth="1"/>
    <col min="6" max="6" width="23.125" bestFit="1" customWidth="1"/>
    <col min="7" max="7" width="31.625" customWidth="1"/>
    <col min="8" max="8" width="20" bestFit="1" customWidth="1"/>
    <col min="9" max="9" width="40" customWidth="1"/>
    <col min="10" max="10" width="15.5" bestFit="1" customWidth="1"/>
    <col min="11" max="11" width="16.625" bestFit="1" customWidth="1"/>
    <col min="12" max="12" width="10.125" bestFit="1" customWidth="1"/>
    <col min="16" max="16" width="21.375" customWidth="1"/>
    <col min="18" max="18" width="21.125" customWidth="1"/>
  </cols>
  <sheetData>
    <row r="4" spans="4:19" ht="17.100000000000001" customHeight="1">
      <c r="G4" s="79" t="s">
        <v>545</v>
      </c>
      <c r="H4" s="79" t="s">
        <v>546</v>
      </c>
      <c r="I4" s="79" t="s">
        <v>547</v>
      </c>
      <c r="J4" s="79" t="s">
        <v>548</v>
      </c>
      <c r="K4" s="79" t="s">
        <v>549</v>
      </c>
      <c r="O4" s="76" t="s">
        <v>550</v>
      </c>
      <c r="P4" s="76" t="s">
        <v>545</v>
      </c>
      <c r="Q4" s="76" t="s">
        <v>551</v>
      </c>
      <c r="R4" s="76" t="s">
        <v>548</v>
      </c>
      <c r="S4" s="76" t="s">
        <v>549</v>
      </c>
    </row>
    <row r="5" spans="4:19" ht="17.100000000000001" customHeight="1">
      <c r="G5" s="80" t="s">
        <v>552</v>
      </c>
      <c r="H5" s="81">
        <v>913153</v>
      </c>
      <c r="I5" s="81">
        <v>912534</v>
      </c>
      <c r="J5" s="80">
        <v>1.06</v>
      </c>
      <c r="K5" s="80">
        <v>2.38</v>
      </c>
      <c r="O5" s="77" t="s">
        <v>553</v>
      </c>
      <c r="P5" s="77" t="s">
        <v>554</v>
      </c>
      <c r="Q5" s="78">
        <v>389099</v>
      </c>
      <c r="R5" s="77">
        <v>1.84</v>
      </c>
      <c r="S5" s="77">
        <v>1.88</v>
      </c>
    </row>
    <row r="6" spans="4:19" ht="17.100000000000001" customHeight="1">
      <c r="G6" s="80" t="s">
        <v>555</v>
      </c>
      <c r="H6" s="81">
        <v>239853</v>
      </c>
      <c r="I6" s="81">
        <v>239853</v>
      </c>
      <c r="J6" s="80">
        <v>0.1</v>
      </c>
      <c r="K6" s="80">
        <v>4.3</v>
      </c>
      <c r="O6" s="77"/>
      <c r="P6" s="77" t="s">
        <v>556</v>
      </c>
      <c r="Q6" s="78">
        <v>286162</v>
      </c>
      <c r="R6" s="77">
        <v>2.06</v>
      </c>
      <c r="S6" s="77">
        <v>2.1</v>
      </c>
    </row>
    <row r="7" spans="4:19" ht="17.100000000000001" customHeight="1">
      <c r="G7" s="80" t="s">
        <v>557</v>
      </c>
      <c r="H7" s="81">
        <v>673300</v>
      </c>
      <c r="I7" s="81">
        <v>672681</v>
      </c>
      <c r="J7" s="80">
        <v>1.41</v>
      </c>
      <c r="K7" s="80">
        <v>1.7</v>
      </c>
      <c r="O7" s="77"/>
      <c r="P7" s="77" t="s">
        <v>558</v>
      </c>
      <c r="Q7" s="78">
        <v>9299</v>
      </c>
      <c r="R7" s="77">
        <v>1.4</v>
      </c>
      <c r="S7" s="77">
        <v>1.48</v>
      </c>
    </row>
    <row r="8" spans="4:19" ht="17.100000000000001" customHeight="1">
      <c r="G8" s="80" t="s">
        <v>556</v>
      </c>
      <c r="H8" s="81">
        <v>358815</v>
      </c>
      <c r="I8" s="81">
        <v>357742</v>
      </c>
      <c r="J8" s="80">
        <v>1.76</v>
      </c>
      <c r="K8" s="80">
        <v>2.04</v>
      </c>
      <c r="O8" s="77"/>
      <c r="P8" s="77" t="s">
        <v>559</v>
      </c>
      <c r="Q8" s="78">
        <v>93638</v>
      </c>
      <c r="R8" s="77">
        <v>1.21</v>
      </c>
      <c r="S8" s="77">
        <v>1.27</v>
      </c>
    </row>
    <row r="9" spans="4:19" ht="17.100000000000001" customHeight="1">
      <c r="G9" s="80" t="s">
        <v>558</v>
      </c>
      <c r="H9" s="81">
        <v>181455</v>
      </c>
      <c r="I9" s="81">
        <v>180775</v>
      </c>
      <c r="J9" s="80">
        <v>1.23</v>
      </c>
      <c r="K9" s="80">
        <v>1.27</v>
      </c>
      <c r="O9" s="77" t="s">
        <v>560</v>
      </c>
      <c r="P9" s="77" t="s">
        <v>554</v>
      </c>
      <c r="Q9" s="78">
        <v>89673</v>
      </c>
      <c r="R9" s="77">
        <v>1.82</v>
      </c>
      <c r="S9" s="77">
        <v>1.99</v>
      </c>
    </row>
    <row r="10" spans="4:19" ht="17.100000000000001" customHeight="1">
      <c r="G10" s="80" t="s">
        <v>559</v>
      </c>
      <c r="H10" s="81">
        <v>133030</v>
      </c>
      <c r="I10" s="81">
        <v>134164</v>
      </c>
      <c r="J10" s="80">
        <v>0.72</v>
      </c>
      <c r="K10" s="80">
        <v>1.35</v>
      </c>
      <c r="O10" s="77"/>
      <c r="P10" s="77" t="s">
        <v>556</v>
      </c>
      <c r="Q10" s="78">
        <v>50082</v>
      </c>
      <c r="R10" s="77">
        <v>2.4700000000000002</v>
      </c>
      <c r="S10" s="77">
        <v>2.54</v>
      </c>
    </row>
    <row r="11" spans="4:19" ht="17.100000000000001" customHeight="1">
      <c r="O11" s="77"/>
      <c r="P11" s="77" t="s">
        <v>558</v>
      </c>
      <c r="Q11" s="78">
        <v>22494</v>
      </c>
      <c r="R11" s="77">
        <v>1.27</v>
      </c>
      <c r="S11" s="77">
        <v>1.29</v>
      </c>
    </row>
    <row r="12" spans="4:19" ht="17.100000000000001" customHeight="1">
      <c r="O12" s="77"/>
      <c r="P12" s="77" t="s">
        <v>559</v>
      </c>
      <c r="Q12" s="78">
        <v>17097</v>
      </c>
      <c r="R12" s="77">
        <v>0.63</v>
      </c>
      <c r="S12" s="77">
        <v>1.32</v>
      </c>
    </row>
    <row r="14" spans="4:19">
      <c r="D14" s="24" t="s">
        <v>561</v>
      </c>
      <c r="E14" s="25" t="s">
        <v>14</v>
      </c>
      <c r="F14" s="25" t="s">
        <v>562</v>
      </c>
      <c r="G14" s="25" t="s">
        <v>563</v>
      </c>
      <c r="H14" s="25" t="s">
        <v>564</v>
      </c>
      <c r="I14" s="25" t="s">
        <v>565</v>
      </c>
      <c r="J14" s="25" t="s">
        <v>566</v>
      </c>
      <c r="K14" s="25" t="s">
        <v>567</v>
      </c>
      <c r="L14" s="26" t="s">
        <v>568</v>
      </c>
    </row>
    <row r="15" spans="4:19">
      <c r="D15" s="27" t="s">
        <v>14</v>
      </c>
      <c r="E15" s="11">
        <v>1026562</v>
      </c>
      <c r="F15" s="11">
        <v>701743</v>
      </c>
      <c r="G15" s="12">
        <f t="shared" ref="G15:G38" si="0">IFERROR(F15/E15, 0)</f>
        <v>0.68358559931109864</v>
      </c>
      <c r="H15" s="28">
        <v>7290979</v>
      </c>
      <c r="I15" s="11">
        <v>285759339</v>
      </c>
      <c r="J15" s="28">
        <v>1746932</v>
      </c>
      <c r="K15" s="11">
        <v>74511471</v>
      </c>
      <c r="L15" s="29">
        <f t="shared" ref="L15:L38" si="1">IFERROR((I15+K15)/E15, 0)</f>
        <v>350.9489051805931</v>
      </c>
    </row>
    <row r="16" spans="4:19">
      <c r="D16" s="30" t="s">
        <v>569</v>
      </c>
      <c r="E16" s="11">
        <v>0</v>
      </c>
      <c r="F16" s="11">
        <v>0</v>
      </c>
      <c r="G16" s="12">
        <f t="shared" si="0"/>
        <v>0</v>
      </c>
      <c r="H16" s="28">
        <v>0</v>
      </c>
      <c r="I16" s="11">
        <v>0</v>
      </c>
      <c r="J16" s="28">
        <v>0</v>
      </c>
      <c r="K16" s="11">
        <v>0</v>
      </c>
      <c r="L16" s="29">
        <f t="shared" si="1"/>
        <v>0</v>
      </c>
    </row>
    <row r="17" spans="3:12">
      <c r="D17" s="30" t="s">
        <v>570</v>
      </c>
      <c r="E17" s="11">
        <v>0</v>
      </c>
      <c r="F17" s="11">
        <v>0</v>
      </c>
      <c r="G17" s="12">
        <f t="shared" si="0"/>
        <v>0</v>
      </c>
      <c r="H17" s="28">
        <v>0</v>
      </c>
      <c r="I17" s="11">
        <v>0</v>
      </c>
      <c r="J17" s="28">
        <v>0</v>
      </c>
      <c r="K17" s="11">
        <v>0</v>
      </c>
      <c r="L17" s="29">
        <f t="shared" si="1"/>
        <v>0</v>
      </c>
    </row>
    <row r="18" spans="3:12">
      <c r="D18" s="30" t="s">
        <v>571</v>
      </c>
      <c r="E18" s="11">
        <v>0</v>
      </c>
      <c r="F18" s="11">
        <v>0</v>
      </c>
      <c r="G18" s="12">
        <f t="shared" si="0"/>
        <v>0</v>
      </c>
      <c r="H18" s="28">
        <v>0</v>
      </c>
      <c r="I18" s="11">
        <v>0</v>
      </c>
      <c r="J18" s="28">
        <v>0</v>
      </c>
      <c r="K18" s="11">
        <v>0</v>
      </c>
      <c r="L18" s="29">
        <f t="shared" si="1"/>
        <v>0</v>
      </c>
    </row>
    <row r="19" spans="3:12">
      <c r="D19" s="30" t="s">
        <v>572</v>
      </c>
      <c r="E19" s="11">
        <v>0</v>
      </c>
      <c r="F19" s="11">
        <v>0</v>
      </c>
      <c r="G19" s="12">
        <f t="shared" si="0"/>
        <v>0</v>
      </c>
      <c r="H19" s="28">
        <v>0</v>
      </c>
      <c r="I19" s="11">
        <v>0</v>
      </c>
      <c r="J19" s="28">
        <v>0</v>
      </c>
      <c r="K19" s="11">
        <v>0</v>
      </c>
      <c r="L19" s="29">
        <f t="shared" si="1"/>
        <v>0</v>
      </c>
    </row>
    <row r="20" spans="3:12">
      <c r="D20" s="30" t="s">
        <v>573</v>
      </c>
      <c r="E20" s="11">
        <v>1026562</v>
      </c>
      <c r="F20" s="11">
        <v>701743</v>
      </c>
      <c r="G20" s="12">
        <f t="shared" si="0"/>
        <v>0.68358559931109864</v>
      </c>
      <c r="H20" s="28">
        <v>7290979</v>
      </c>
      <c r="I20" s="11">
        <v>285759339</v>
      </c>
      <c r="J20" s="28">
        <v>1746932</v>
      </c>
      <c r="K20" s="11">
        <v>74511471</v>
      </c>
      <c r="L20" s="29">
        <f t="shared" si="1"/>
        <v>350.9489051805931</v>
      </c>
    </row>
    <row r="21" spans="3:12">
      <c r="D21" s="31" t="s">
        <v>574</v>
      </c>
      <c r="E21" s="11">
        <v>33615</v>
      </c>
      <c r="F21" s="11">
        <v>0</v>
      </c>
      <c r="G21" s="12">
        <f t="shared" si="0"/>
        <v>0</v>
      </c>
      <c r="H21" s="28">
        <v>457420</v>
      </c>
      <c r="I21" s="11">
        <v>15586363</v>
      </c>
      <c r="J21" s="28">
        <v>1746932</v>
      </c>
      <c r="K21" s="11">
        <v>74511471</v>
      </c>
      <c r="L21" s="29">
        <f t="shared" si="1"/>
        <v>2680.2865982448311</v>
      </c>
    </row>
    <row r="22" spans="3:12">
      <c r="D22" s="31" t="s">
        <v>575</v>
      </c>
      <c r="E22" s="11">
        <f>E20-E21</f>
        <v>992947</v>
      </c>
      <c r="F22" s="11">
        <f>F20-F21</f>
        <v>701743</v>
      </c>
      <c r="G22" s="12">
        <f t="shared" si="0"/>
        <v>0.70672754940596028</v>
      </c>
      <c r="H22" s="28">
        <f>H20-H21</f>
        <v>6833559</v>
      </c>
      <c r="I22" s="11">
        <f>I20-I21</f>
        <v>270172976</v>
      </c>
      <c r="J22" s="28">
        <f>J20-J21</f>
        <v>0</v>
      </c>
      <c r="K22" s="11">
        <f>K20-K21</f>
        <v>0</v>
      </c>
      <c r="L22" s="29">
        <f t="shared" si="1"/>
        <v>272.09204116634623</v>
      </c>
    </row>
    <row r="23" spans="3:12">
      <c r="D23" s="32" t="s">
        <v>576</v>
      </c>
      <c r="E23" s="11">
        <v>79794</v>
      </c>
      <c r="F23" s="11">
        <v>51689</v>
      </c>
      <c r="G23" s="12">
        <f t="shared" si="0"/>
        <v>0.64778053487730902</v>
      </c>
      <c r="H23" s="28">
        <v>1384571</v>
      </c>
      <c r="I23" s="11">
        <v>67601852</v>
      </c>
      <c r="J23" s="28"/>
      <c r="K23" s="11"/>
      <c r="L23" s="29">
        <f t="shared" si="1"/>
        <v>847.20470210792791</v>
      </c>
    </row>
    <row r="24" spans="3:12">
      <c r="D24" s="33" t="s">
        <v>577</v>
      </c>
      <c r="E24" s="11">
        <v>55006</v>
      </c>
      <c r="F24" s="11">
        <v>36273</v>
      </c>
      <c r="G24" s="12">
        <f t="shared" si="0"/>
        <v>0.65943715231065703</v>
      </c>
      <c r="H24" s="28">
        <v>1045585.7701543299</v>
      </c>
      <c r="I24" s="11">
        <v>50915501</v>
      </c>
      <c r="J24" s="28">
        <v>0</v>
      </c>
      <c r="K24" s="11">
        <v>0</v>
      </c>
      <c r="L24" s="29">
        <f t="shared" si="1"/>
        <v>925.63540341053704</v>
      </c>
    </row>
    <row r="25" spans="3:12">
      <c r="D25" s="34" t="s">
        <v>578</v>
      </c>
      <c r="E25" s="11">
        <v>19248</v>
      </c>
      <c r="F25" s="11">
        <v>556</v>
      </c>
      <c r="G25" s="12">
        <f t="shared" si="0"/>
        <v>2.8886118038237738E-2</v>
      </c>
      <c r="H25" s="28">
        <v>415255.270257784</v>
      </c>
      <c r="I25" s="11">
        <v>18852635</v>
      </c>
      <c r="J25" s="28">
        <v>0</v>
      </c>
      <c r="K25" s="11">
        <v>0</v>
      </c>
      <c r="L25" s="29">
        <f t="shared" si="1"/>
        <v>979.45942435577717</v>
      </c>
    </row>
    <row r="26" spans="3:12">
      <c r="D26" s="33" t="s">
        <v>579</v>
      </c>
      <c r="E26" s="11">
        <v>12493</v>
      </c>
      <c r="F26" s="11">
        <v>8053</v>
      </c>
      <c r="G26" s="12">
        <f t="shared" si="0"/>
        <v>0.64460097654686621</v>
      </c>
      <c r="H26" s="28">
        <v>173341.18268404499</v>
      </c>
      <c r="I26" s="11">
        <v>8747560</v>
      </c>
      <c r="J26" s="28">
        <v>0</v>
      </c>
      <c r="K26" s="11">
        <v>0</v>
      </c>
      <c r="L26" s="29">
        <f t="shared" si="1"/>
        <v>700.19691026975102</v>
      </c>
    </row>
    <row r="27" spans="3:12">
      <c r="D27" s="34" t="s">
        <v>578</v>
      </c>
      <c r="E27" s="11">
        <v>4506</v>
      </c>
      <c r="F27" s="11">
        <v>80</v>
      </c>
      <c r="G27" s="12">
        <f t="shared" si="0"/>
        <v>1.775410563692854E-2</v>
      </c>
      <c r="H27" s="28">
        <v>52272.906566184</v>
      </c>
      <c r="I27" s="11">
        <v>2407778</v>
      </c>
      <c r="J27" s="28">
        <v>0</v>
      </c>
      <c r="K27" s="11">
        <v>0</v>
      </c>
      <c r="L27" s="29">
        <f t="shared" si="1"/>
        <v>534.34931202840653</v>
      </c>
    </row>
    <row r="28" spans="3:12">
      <c r="D28" s="33" t="s">
        <v>580</v>
      </c>
      <c r="E28" s="11">
        <v>12295</v>
      </c>
      <c r="F28" s="11">
        <v>7363</v>
      </c>
      <c r="G28" s="12">
        <f t="shared" si="0"/>
        <v>0.59886132574217166</v>
      </c>
      <c r="H28" s="28">
        <v>165644.21634608699</v>
      </c>
      <c r="I28" s="11">
        <v>7938791</v>
      </c>
      <c r="J28" s="28">
        <v>0</v>
      </c>
      <c r="K28" s="11">
        <v>0</v>
      </c>
      <c r="L28" s="29">
        <f t="shared" si="1"/>
        <v>645.69263928426187</v>
      </c>
    </row>
    <row r="29" spans="3:12">
      <c r="D29" s="34" t="s">
        <v>578</v>
      </c>
      <c r="E29" s="11">
        <v>5003</v>
      </c>
      <c r="F29" s="11">
        <v>82</v>
      </c>
      <c r="G29" s="12">
        <f t="shared" si="0"/>
        <v>1.6390165900459726E-2</v>
      </c>
      <c r="H29" s="28">
        <v>55241.735670349</v>
      </c>
      <c r="I29" s="11">
        <v>2431552</v>
      </c>
      <c r="J29" s="28">
        <v>0</v>
      </c>
      <c r="K29" s="11">
        <v>0</v>
      </c>
      <c r="L29" s="29">
        <f t="shared" si="1"/>
        <v>486.01878872676394</v>
      </c>
    </row>
    <row r="30" spans="3:12">
      <c r="C30" s="12">
        <f>E30/E22</f>
        <v>0.91963921538611826</v>
      </c>
      <c r="D30" s="32" t="s">
        <v>581</v>
      </c>
      <c r="E30" s="11">
        <v>913153</v>
      </c>
      <c r="F30" s="11">
        <v>650054</v>
      </c>
      <c r="G30" s="12">
        <f t="shared" si="0"/>
        <v>0.71187851323929285</v>
      </c>
      <c r="H30" s="28">
        <v>5448988.2062844597</v>
      </c>
      <c r="I30" s="11">
        <v>202571124</v>
      </c>
      <c r="J30" s="28">
        <v>0</v>
      </c>
      <c r="K30" s="11">
        <v>0</v>
      </c>
      <c r="L30" s="29">
        <f t="shared" si="1"/>
        <v>221.83700212341196</v>
      </c>
    </row>
    <row r="31" spans="3:12">
      <c r="C31" s="12">
        <f>E31/E15</f>
        <v>0.23364687179147484</v>
      </c>
      <c r="D31" s="33" t="s">
        <v>15</v>
      </c>
      <c r="E31" s="11">
        <v>239853</v>
      </c>
      <c r="F31" s="11">
        <v>239853</v>
      </c>
      <c r="G31" s="12">
        <f t="shared" si="0"/>
        <v>1</v>
      </c>
      <c r="H31" s="28">
        <v>48701</v>
      </c>
      <c r="I31" s="11">
        <v>2600030</v>
      </c>
      <c r="J31" s="28"/>
      <c r="K31" s="11"/>
      <c r="L31" s="29">
        <f t="shared" si="1"/>
        <v>10.840097893292976</v>
      </c>
    </row>
    <row r="32" spans="3:12">
      <c r="C32" s="12">
        <f>E32/E30</f>
        <v>0.73733536439129044</v>
      </c>
      <c r="D32" s="33" t="s">
        <v>17</v>
      </c>
      <c r="E32" s="11">
        <f>E30-E31</f>
        <v>673300</v>
      </c>
      <c r="F32" s="11">
        <f>F30-F31</f>
        <v>410201</v>
      </c>
      <c r="G32" s="12">
        <f t="shared" si="0"/>
        <v>0.60923956631516407</v>
      </c>
      <c r="H32" s="28">
        <f>H30-H31</f>
        <v>5400287.2062844597</v>
      </c>
      <c r="I32" s="11">
        <f>I30-I31</f>
        <v>199971094</v>
      </c>
      <c r="J32" s="28"/>
      <c r="K32" s="11"/>
      <c r="L32" s="29">
        <f t="shared" si="1"/>
        <v>297.00147631070843</v>
      </c>
    </row>
    <row r="33" spans="3:14">
      <c r="C33" s="12">
        <f>E33/E32</f>
        <v>0.53291994653200658</v>
      </c>
      <c r="D33" s="35" t="s">
        <v>18</v>
      </c>
      <c r="E33" s="36">
        <v>358815</v>
      </c>
      <c r="F33" s="11">
        <v>306354</v>
      </c>
      <c r="G33" s="12">
        <f t="shared" si="0"/>
        <v>0.85379373771999501</v>
      </c>
      <c r="H33" s="37">
        <v>3151440</v>
      </c>
      <c r="I33" s="11">
        <v>137156503</v>
      </c>
      <c r="J33" s="28">
        <v>0</v>
      </c>
      <c r="K33" s="11">
        <v>0</v>
      </c>
      <c r="L33" s="29">
        <f t="shared" si="1"/>
        <v>382.24852082549501</v>
      </c>
    </row>
    <row r="34" spans="3:14">
      <c r="C34" s="12">
        <f>E34/E33</f>
        <v>0.19624876329027494</v>
      </c>
      <c r="D34" s="38" t="s">
        <v>578</v>
      </c>
      <c r="E34" s="11">
        <v>70417</v>
      </c>
      <c r="F34" s="11">
        <v>18563</v>
      </c>
      <c r="G34" s="12">
        <f t="shared" si="0"/>
        <v>0.26361532016416489</v>
      </c>
      <c r="H34" s="28">
        <v>1009029</v>
      </c>
      <c r="I34" s="11">
        <v>38011553</v>
      </c>
      <c r="J34" s="28">
        <v>0</v>
      </c>
      <c r="K34" s="11">
        <v>0</v>
      </c>
      <c r="L34" s="29">
        <f t="shared" si="1"/>
        <v>539.80648138943718</v>
      </c>
    </row>
    <row r="35" spans="3:14">
      <c r="D35" s="39" t="s">
        <v>19</v>
      </c>
      <c r="E35" s="11">
        <v>181455</v>
      </c>
      <c r="F35" s="11">
        <v>84875</v>
      </c>
      <c r="G35" s="12">
        <f t="shared" si="0"/>
        <v>0.46774682428150233</v>
      </c>
      <c r="H35" s="28">
        <v>1744584</v>
      </c>
      <c r="I35" s="11">
        <v>45079671</v>
      </c>
      <c r="J35" s="28"/>
      <c r="K35" s="11"/>
      <c r="L35" s="29">
        <f t="shared" si="1"/>
        <v>248.43443829048525</v>
      </c>
      <c r="N35" s="12">
        <f>H33/H32</f>
        <v>0.58356896209753151</v>
      </c>
    </row>
    <row r="36" spans="3:14">
      <c r="D36" s="38" t="s">
        <v>578</v>
      </c>
      <c r="E36" s="11">
        <v>96184</v>
      </c>
      <c r="F36" s="11">
        <v>433</v>
      </c>
      <c r="G36" s="12">
        <f t="shared" si="0"/>
        <v>4.5017882392081841E-3</v>
      </c>
      <c r="H36" s="28">
        <v>768902</v>
      </c>
      <c r="I36" s="11">
        <v>20152695</v>
      </c>
      <c r="J36" s="28"/>
      <c r="K36" s="11"/>
      <c r="L36" s="29">
        <f t="shared" si="1"/>
        <v>209.52232179988354</v>
      </c>
    </row>
    <row r="37" spans="3:14">
      <c r="D37" s="39" t="s">
        <v>20</v>
      </c>
      <c r="E37" s="11">
        <f>E32-(E33+E35)</f>
        <v>133030</v>
      </c>
      <c r="F37" s="11">
        <f>F32-(F33+F35)</f>
        <v>18972</v>
      </c>
      <c r="G37" s="12">
        <f t="shared" si="0"/>
        <v>0.14261444786890176</v>
      </c>
      <c r="H37" s="28">
        <f>H32-(H33+H35)</f>
        <v>504263.20628445968</v>
      </c>
      <c r="I37" s="11">
        <f>I32-(I33+I35)</f>
        <v>17734920</v>
      </c>
      <c r="J37" s="28"/>
      <c r="K37" s="11"/>
      <c r="L37" s="29">
        <f t="shared" si="1"/>
        <v>133.31519206194091</v>
      </c>
    </row>
    <row r="38" spans="3:14">
      <c r="D38" s="40" t="s">
        <v>578</v>
      </c>
      <c r="E38" s="41">
        <v>114090</v>
      </c>
      <c r="F38" s="41">
        <v>110</v>
      </c>
      <c r="G38" s="42">
        <f t="shared" si="0"/>
        <v>9.6415110877377504E-4</v>
      </c>
      <c r="H38" s="43">
        <v>251487.93403885001</v>
      </c>
      <c r="I38" s="41">
        <v>9157580</v>
      </c>
      <c r="J38" s="43">
        <v>0</v>
      </c>
      <c r="K38" s="41">
        <v>0</v>
      </c>
      <c r="L38" s="29">
        <f t="shared" si="1"/>
        <v>80.266281006223153</v>
      </c>
    </row>
    <row r="41" spans="3:14">
      <c r="D41" s="44" t="s">
        <v>582</v>
      </c>
      <c r="E41" s="45">
        <f>E23+E32</f>
        <v>753094</v>
      </c>
      <c r="F41" s="45">
        <f>F23+F32</f>
        <v>461890</v>
      </c>
      <c r="G41" s="12">
        <f>F41/E41</f>
        <v>0.61332317081267407</v>
      </c>
      <c r="H41" s="28">
        <f>H23+H32</f>
        <v>6784858.2062844597</v>
      </c>
      <c r="I41" s="45">
        <f>I23+I32</f>
        <v>267572946</v>
      </c>
      <c r="J41" s="45">
        <f>J23+J32</f>
        <v>0</v>
      </c>
      <c r="K41" s="45">
        <f>K23+K32</f>
        <v>0</v>
      </c>
      <c r="L41" s="11">
        <f>IFERROR((I41+K41)/E41/60, 0)</f>
        <v>5.921636741230178</v>
      </c>
    </row>
    <row r="42" spans="3:14" ht="33.950000000000003" customHeight="1">
      <c r="D42" s="46" t="s">
        <v>583</v>
      </c>
      <c r="E42" s="45"/>
      <c r="F42" s="45"/>
      <c r="G42" s="45"/>
      <c r="H42" s="28"/>
      <c r="I42" s="45"/>
      <c r="J42" s="45"/>
      <c r="K42" s="45"/>
      <c r="L42" s="11"/>
    </row>
    <row r="43" spans="3:14">
      <c r="C43" s="12">
        <f>E43/E41</f>
        <v>0.41090222468908266</v>
      </c>
      <c r="D43" s="44" t="s">
        <v>584</v>
      </c>
      <c r="E43" s="45">
        <f>E25+E27+E29+E34+E36+E38</f>
        <v>309448</v>
      </c>
      <c r="F43" s="45">
        <f>F25+F27+F29+F34+F36+F38</f>
        <v>19824</v>
      </c>
      <c r="G43" s="12">
        <f>F43/E43</f>
        <v>6.4062459605491062E-2</v>
      </c>
      <c r="H43" s="28">
        <f>H25+H27+H29+H34+H36+H38</f>
        <v>2552188.8465331667</v>
      </c>
      <c r="I43" s="45">
        <f>I25+I27+I29+I34+I36+I38</f>
        <v>91013793</v>
      </c>
      <c r="J43" s="45">
        <f>J25+J27+J29+J34+J36+J38</f>
        <v>0</v>
      </c>
      <c r="K43" s="45">
        <f>K25+K27+K29+K34+K36+K38</f>
        <v>0</v>
      </c>
      <c r="L43" s="11">
        <f>IFERROR((I43+K43)/E43/60, 0)</f>
        <v>4.901943299035703</v>
      </c>
    </row>
    <row r="44" spans="3:14">
      <c r="D44" s="47"/>
      <c r="F44" s="47"/>
      <c r="G44" s="47"/>
      <c r="H44" s="47"/>
      <c r="I44" s="47"/>
      <c r="J44" s="47"/>
    </row>
    <row r="45" spans="3:14">
      <c r="D45" s="44" t="s">
        <v>585</v>
      </c>
      <c r="E45" s="45">
        <f>E32</f>
        <v>673300</v>
      </c>
      <c r="F45" s="45">
        <f>F32</f>
        <v>410201</v>
      </c>
      <c r="G45" s="12">
        <f>F45/E45</f>
        <v>0.60923956631516407</v>
      </c>
      <c r="H45" s="45">
        <f>H32</f>
        <v>5400287.2062844597</v>
      </c>
      <c r="I45" s="45">
        <f>I32</f>
        <v>199971094</v>
      </c>
      <c r="J45" s="45">
        <f>J32</f>
        <v>0</v>
      </c>
      <c r="K45" s="45">
        <f>K32</f>
        <v>0</v>
      </c>
      <c r="L45" s="11">
        <f>IFERROR((I45+K45)/E45/60, 0)</f>
        <v>4.9500246051784735</v>
      </c>
    </row>
    <row r="46" spans="3:14">
      <c r="D46" s="48" t="s">
        <v>586</v>
      </c>
      <c r="E46" s="45"/>
      <c r="F46" s="45"/>
      <c r="G46" s="12"/>
      <c r="H46" s="28"/>
      <c r="I46" s="45"/>
      <c r="J46" s="45"/>
      <c r="K46" s="45"/>
      <c r="L46" s="11"/>
    </row>
    <row r="47" spans="3:14">
      <c r="C47" s="12">
        <f>E47/E45</f>
        <v>0.41688845982474382</v>
      </c>
      <c r="D47" s="44" t="s">
        <v>584</v>
      </c>
      <c r="E47" s="45">
        <f>E34+E36+E38</f>
        <v>280691</v>
      </c>
      <c r="F47" s="45">
        <f>F34+F36+F38</f>
        <v>19106</v>
      </c>
      <c r="G47" s="12">
        <f>F47/E47</f>
        <v>6.806773284501462E-2</v>
      </c>
      <c r="H47" s="45">
        <f>H34+H36+H38</f>
        <v>2029418.93403885</v>
      </c>
      <c r="I47" s="45">
        <f>I34+I36+I38</f>
        <v>67321828</v>
      </c>
      <c r="J47" s="45">
        <f>J34+J36+J38</f>
        <v>0</v>
      </c>
      <c r="K47" s="45">
        <f>K34+K36+K38</f>
        <v>0</v>
      </c>
      <c r="L47" s="11">
        <f>IFERROR((I47+K47)/E47/60, 0)</f>
        <v>3.9973866873774599</v>
      </c>
      <c r="M47" s="45"/>
    </row>
    <row r="48" spans="3:14">
      <c r="H48" s="49"/>
    </row>
    <row r="49" spans="4:10">
      <c r="D49" s="50"/>
      <c r="E49" s="50">
        <f>E33-E34</f>
        <v>288398</v>
      </c>
      <c r="F49" s="50">
        <f>F33-F34</f>
        <v>287791</v>
      </c>
      <c r="G49" s="51">
        <f>F49/E49</f>
        <v>0.99789526973141285</v>
      </c>
      <c r="H49" s="50"/>
    </row>
    <row r="50" spans="4:10">
      <c r="H50" s="47"/>
    </row>
    <row r="51" spans="4:10">
      <c r="D51" s="52" t="s">
        <v>587</v>
      </c>
      <c r="F51" s="47"/>
      <c r="G51" s="47"/>
      <c r="H51" s="47"/>
      <c r="I51" s="47"/>
      <c r="J51" s="47"/>
    </row>
    <row r="52" spans="4:10">
      <c r="D52" s="52" t="s">
        <v>588</v>
      </c>
      <c r="F52" s="47"/>
      <c r="G52" s="47"/>
      <c r="H52" s="47"/>
      <c r="I52" s="47"/>
      <c r="J52" s="47"/>
    </row>
    <row r="53" spans="4:10">
      <c r="D53" t="s">
        <v>589</v>
      </c>
      <c r="H53" s="47"/>
    </row>
    <row r="54" spans="4:10">
      <c r="D54" t="s">
        <v>590</v>
      </c>
      <c r="H54" s="49"/>
    </row>
    <row r="55" spans="4:10">
      <c r="D55" t="s">
        <v>591</v>
      </c>
      <c r="E55" s="47"/>
      <c r="F55" s="47"/>
      <c r="G55" s="47"/>
      <c r="H55" s="47"/>
      <c r="I55" s="47"/>
    </row>
    <row r="56" spans="4:10">
      <c r="H56" s="47"/>
    </row>
    <row r="57" spans="4:10">
      <c r="H57" s="47"/>
    </row>
    <row r="58" spans="4:10">
      <c r="H58" s="49"/>
    </row>
    <row r="59" spans="4:10">
      <c r="H59" s="47"/>
    </row>
    <row r="61" spans="4:10">
      <c r="F61" s="47"/>
      <c r="G61" s="47"/>
      <c r="H61" s="47"/>
      <c r="I61" s="47"/>
      <c r="J61" s="47"/>
    </row>
    <row r="62" spans="4:10">
      <c r="F62" s="47"/>
      <c r="G62" s="47"/>
      <c r="H62" s="47"/>
      <c r="I62" s="47"/>
      <c r="J62" s="47"/>
    </row>
    <row r="63" spans="4:10">
      <c r="H63" s="47"/>
    </row>
    <row r="64" spans="4:10">
      <c r="H64" s="49"/>
    </row>
    <row r="65" spans="4:8">
      <c r="D65" s="47"/>
      <c r="E65" s="47"/>
      <c r="F65" s="47"/>
      <c r="G65" s="47"/>
      <c r="H65" s="47"/>
    </row>
    <row r="70" spans="4:8">
      <c r="D70" s="47"/>
    </row>
    <row r="71" spans="4:8">
      <c r="D71" s="47"/>
      <c r="H71" s="47"/>
    </row>
    <row r="72" spans="4:8">
      <c r="D72" s="49"/>
    </row>
    <row r="73" spans="4:8">
      <c r="D73" s="47"/>
      <c r="H73" s="49"/>
    </row>
    <row r="74" spans="4:8">
      <c r="H74" s="47"/>
    </row>
    <row r="77" spans="4:8">
      <c r="H77" s="47"/>
    </row>
    <row r="79" spans="4:8">
      <c r="H79" s="49"/>
    </row>
    <row r="80" spans="4:8">
      <c r="H80" s="4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0:N34"/>
  <sheetViews>
    <sheetView topLeftCell="A6" workbookViewId="0">
      <selection activeCell="B31" sqref="B31:J31"/>
    </sheetView>
  </sheetViews>
  <sheetFormatPr defaultColWidth="11" defaultRowHeight="15.95"/>
  <cols>
    <col min="2" max="3" width="23.375" customWidth="1"/>
    <col min="4" max="5" width="47.875" customWidth="1"/>
    <col min="6" max="6" width="24.5" customWidth="1"/>
    <col min="7" max="7" width="20.625" customWidth="1"/>
    <col min="8" max="8" width="17.875" customWidth="1"/>
    <col min="9" max="9" width="13.375" customWidth="1"/>
    <col min="10" max="10" width="13.5" customWidth="1"/>
    <col min="11" max="11" width="50.5" customWidth="1"/>
    <col min="12" max="12" width="30.875" customWidth="1"/>
    <col min="13" max="13" width="32.125" customWidth="1"/>
    <col min="14" max="14" width="62" customWidth="1"/>
  </cols>
  <sheetData>
    <row r="10" spans="1:14">
      <c r="N10" s="180" t="s">
        <v>592</v>
      </c>
    </row>
    <row r="11" spans="1:14" ht="20.100000000000001" customHeight="1">
      <c r="A11" s="53" t="s">
        <v>22</v>
      </c>
      <c r="B11" s="54" t="s">
        <v>23</v>
      </c>
      <c r="C11" s="54" t="s">
        <v>486</v>
      </c>
      <c r="D11" s="54" t="s">
        <v>593</v>
      </c>
      <c r="E11" s="54" t="s">
        <v>488</v>
      </c>
      <c r="F11" s="54" t="s">
        <v>489</v>
      </c>
      <c r="G11" s="54" t="s">
        <v>594</v>
      </c>
      <c r="H11" s="54" t="s">
        <v>490</v>
      </c>
      <c r="I11" s="54" t="s">
        <v>491</v>
      </c>
      <c r="J11" s="54" t="s">
        <v>492</v>
      </c>
      <c r="K11" s="55" t="s">
        <v>595</v>
      </c>
      <c r="L11" s="54" t="s">
        <v>596</v>
      </c>
      <c r="M11" s="73" t="s">
        <v>597</v>
      </c>
      <c r="N11" s="181" t="s">
        <v>598</v>
      </c>
    </row>
    <row r="12" spans="1:14" ht="48" customHeight="1">
      <c r="A12" s="56">
        <v>1</v>
      </c>
      <c r="B12" s="57" t="s">
        <v>599</v>
      </c>
      <c r="C12" s="57" t="s">
        <v>34</v>
      </c>
      <c r="D12" s="57" t="s">
        <v>499</v>
      </c>
      <c r="E12" s="57" t="s">
        <v>500</v>
      </c>
      <c r="F12" s="57" t="s">
        <v>501</v>
      </c>
      <c r="G12" s="57" t="s">
        <v>93</v>
      </c>
      <c r="H12" s="57"/>
      <c r="I12" s="57" t="s">
        <v>336</v>
      </c>
      <c r="J12" s="57" t="s">
        <v>502</v>
      </c>
      <c r="K12" s="58" t="s">
        <v>600</v>
      </c>
      <c r="L12" s="59"/>
      <c r="M12" s="61" t="s">
        <v>601</v>
      </c>
      <c r="N12" s="179" t="s">
        <v>602</v>
      </c>
    </row>
    <row r="13" spans="1:14" ht="32.1" customHeight="1">
      <c r="A13" s="56">
        <v>2</v>
      </c>
      <c r="B13" s="57" t="s">
        <v>599</v>
      </c>
      <c r="C13" s="57" t="s">
        <v>45</v>
      </c>
      <c r="D13" s="57" t="s">
        <v>603</v>
      </c>
      <c r="E13" s="57" t="s">
        <v>604</v>
      </c>
      <c r="F13" s="57" t="s">
        <v>605</v>
      </c>
      <c r="G13" s="57" t="s">
        <v>93</v>
      </c>
      <c r="H13" s="57"/>
      <c r="I13" s="57" t="s">
        <v>336</v>
      </c>
      <c r="J13" s="57" t="s">
        <v>606</v>
      </c>
      <c r="K13" s="58"/>
      <c r="L13" s="57"/>
      <c r="M13" s="61" t="s">
        <v>601</v>
      </c>
      <c r="N13" s="179" t="s">
        <v>607</v>
      </c>
    </row>
    <row r="14" spans="1:14" ht="48" customHeight="1">
      <c r="A14" s="56">
        <v>3</v>
      </c>
      <c r="B14" s="60" t="s">
        <v>608</v>
      </c>
      <c r="C14" s="57" t="s">
        <v>56</v>
      </c>
      <c r="D14" s="57" t="s">
        <v>609</v>
      </c>
      <c r="E14" s="57" t="s">
        <v>610</v>
      </c>
      <c r="F14" s="57" t="s">
        <v>509</v>
      </c>
      <c r="G14" s="57" t="s">
        <v>375</v>
      </c>
      <c r="H14" s="57" t="s">
        <v>611</v>
      </c>
      <c r="I14" s="57" t="s">
        <v>336</v>
      </c>
      <c r="J14" s="57" t="s">
        <v>34</v>
      </c>
      <c r="K14" s="58" t="s">
        <v>612</v>
      </c>
      <c r="L14" s="57" t="s">
        <v>613</v>
      </c>
      <c r="M14" s="61" t="s">
        <v>601</v>
      </c>
      <c r="N14" s="179" t="s">
        <v>614</v>
      </c>
    </row>
    <row r="15" spans="1:14" ht="32.1" customHeight="1">
      <c r="A15" s="56">
        <v>4</v>
      </c>
      <c r="B15" s="60" t="s">
        <v>608</v>
      </c>
      <c r="C15" s="57" t="s">
        <v>66</v>
      </c>
      <c r="D15" s="57" t="s">
        <v>615</v>
      </c>
      <c r="E15" s="57" t="s">
        <v>616</v>
      </c>
      <c r="F15" s="57" t="s">
        <v>509</v>
      </c>
      <c r="G15" s="57" t="s">
        <v>93</v>
      </c>
      <c r="H15" s="57"/>
      <c r="I15" s="57" t="s">
        <v>336</v>
      </c>
      <c r="J15" s="57" t="s">
        <v>617</v>
      </c>
      <c r="K15" s="58"/>
      <c r="L15" s="57" t="s">
        <v>613</v>
      </c>
      <c r="M15" s="61" t="s">
        <v>601</v>
      </c>
      <c r="N15" s="179" t="s">
        <v>618</v>
      </c>
    </row>
    <row r="16" spans="1:14" ht="63.95" customHeight="1">
      <c r="A16" s="56">
        <v>5</v>
      </c>
      <c r="B16" s="60" t="s">
        <v>608</v>
      </c>
      <c r="C16" s="57" t="s">
        <v>76</v>
      </c>
      <c r="D16" s="57" t="s">
        <v>619</v>
      </c>
      <c r="E16" s="57" t="s">
        <v>620</v>
      </c>
      <c r="F16" s="57" t="s">
        <v>621</v>
      </c>
      <c r="G16" s="57" t="s">
        <v>375</v>
      </c>
      <c r="H16" s="57" t="s">
        <v>622</v>
      </c>
      <c r="I16" s="57" t="s">
        <v>336</v>
      </c>
      <c r="J16" s="57" t="s">
        <v>623</v>
      </c>
      <c r="K16" s="58" t="s">
        <v>624</v>
      </c>
      <c r="L16" s="57" t="s">
        <v>613</v>
      </c>
      <c r="M16" s="61" t="s">
        <v>601</v>
      </c>
      <c r="N16" s="179" t="s">
        <v>625</v>
      </c>
    </row>
    <row r="17" spans="1:14" ht="80.099999999999994" customHeight="1">
      <c r="A17" s="56">
        <v>6</v>
      </c>
      <c r="B17" s="60" t="s">
        <v>608</v>
      </c>
      <c r="C17" s="57" t="s">
        <v>87</v>
      </c>
      <c r="D17" s="57" t="s">
        <v>626</v>
      </c>
      <c r="E17" s="57" t="s">
        <v>627</v>
      </c>
      <c r="F17" s="57" t="s">
        <v>628</v>
      </c>
      <c r="G17" s="57" t="s">
        <v>629</v>
      </c>
      <c r="H17" s="57" t="s">
        <v>630</v>
      </c>
      <c r="I17" s="57" t="s">
        <v>336</v>
      </c>
      <c r="J17" s="57" t="s">
        <v>631</v>
      </c>
      <c r="K17" s="58" t="s">
        <v>632</v>
      </c>
      <c r="L17" s="57" t="s">
        <v>613</v>
      </c>
      <c r="M17" s="61"/>
      <c r="N17" s="179" t="s">
        <v>633</v>
      </c>
    </row>
    <row r="18" spans="1:14" ht="63.95" customHeight="1">
      <c r="A18" s="56">
        <v>7</v>
      </c>
      <c r="B18" s="60" t="s">
        <v>634</v>
      </c>
      <c r="C18" s="57" t="s">
        <v>97</v>
      </c>
      <c r="D18" s="57" t="s">
        <v>635</v>
      </c>
      <c r="E18" s="57" t="s">
        <v>636</v>
      </c>
      <c r="F18" s="57" t="s">
        <v>509</v>
      </c>
      <c r="G18" s="57" t="s">
        <v>375</v>
      </c>
      <c r="H18" s="57"/>
      <c r="I18" s="57" t="s">
        <v>336</v>
      </c>
      <c r="J18" s="57" t="s">
        <v>637</v>
      </c>
      <c r="K18" s="58" t="s">
        <v>638</v>
      </c>
      <c r="L18" s="57" t="s">
        <v>613</v>
      </c>
      <c r="M18" s="61" t="s">
        <v>601</v>
      </c>
      <c r="N18" s="179" t="s">
        <v>639</v>
      </c>
    </row>
    <row r="19" spans="1:14" ht="32.1" customHeight="1">
      <c r="A19" s="56">
        <v>8</v>
      </c>
      <c r="B19" s="60" t="s">
        <v>634</v>
      </c>
      <c r="C19" s="57" t="s">
        <v>107</v>
      </c>
      <c r="D19" s="57" t="s">
        <v>640</v>
      </c>
      <c r="E19" s="57" t="s">
        <v>641</v>
      </c>
      <c r="F19" s="57" t="s">
        <v>509</v>
      </c>
      <c r="G19" s="57" t="s">
        <v>93</v>
      </c>
      <c r="H19" s="57"/>
      <c r="I19" s="57" t="s">
        <v>336</v>
      </c>
      <c r="J19" s="57" t="s">
        <v>642</v>
      </c>
      <c r="K19" s="58"/>
      <c r="L19" s="57" t="s">
        <v>613</v>
      </c>
      <c r="M19" s="61" t="s">
        <v>601</v>
      </c>
      <c r="N19" s="179" t="s">
        <v>643</v>
      </c>
    </row>
    <row r="20" spans="1:14" ht="111.95" customHeight="1">
      <c r="A20" s="56">
        <v>9</v>
      </c>
      <c r="B20" s="62" t="s">
        <v>644</v>
      </c>
      <c r="C20" s="57" t="s">
        <v>117</v>
      </c>
      <c r="D20" s="57" t="s">
        <v>645</v>
      </c>
      <c r="E20" s="57" t="s">
        <v>646</v>
      </c>
      <c r="F20" s="57" t="s">
        <v>647</v>
      </c>
      <c r="G20" s="57" t="s">
        <v>648</v>
      </c>
      <c r="H20" s="57" t="s">
        <v>649</v>
      </c>
      <c r="I20" s="57" t="s">
        <v>336</v>
      </c>
      <c r="J20" s="57" t="s">
        <v>650</v>
      </c>
      <c r="K20" s="58"/>
      <c r="L20" s="57" t="s">
        <v>651</v>
      </c>
      <c r="M20" s="61" t="s">
        <v>601</v>
      </c>
      <c r="N20" s="179" t="s">
        <v>652</v>
      </c>
    </row>
    <row r="21" spans="1:14" ht="111.95" customHeight="1">
      <c r="A21" s="56">
        <v>10</v>
      </c>
      <c r="B21" s="62" t="s">
        <v>644</v>
      </c>
      <c r="C21" s="57" t="s">
        <v>127</v>
      </c>
      <c r="D21" s="57" t="s">
        <v>653</v>
      </c>
      <c r="E21" s="57" t="s">
        <v>654</v>
      </c>
      <c r="F21" s="57" t="s">
        <v>655</v>
      </c>
      <c r="G21" s="57" t="s">
        <v>93</v>
      </c>
      <c r="H21" s="57"/>
      <c r="I21" s="57" t="s">
        <v>396</v>
      </c>
      <c r="J21" s="57" t="s">
        <v>656</v>
      </c>
      <c r="K21" s="58" t="s">
        <v>657</v>
      </c>
      <c r="L21" s="57" t="s">
        <v>651</v>
      </c>
      <c r="M21" s="61" t="s">
        <v>601</v>
      </c>
      <c r="N21" s="179" t="s">
        <v>658</v>
      </c>
    </row>
    <row r="22" spans="1:14" ht="96" customHeight="1">
      <c r="A22" s="56">
        <v>11</v>
      </c>
      <c r="B22" s="62" t="s">
        <v>644</v>
      </c>
      <c r="C22" s="57" t="s">
        <v>134</v>
      </c>
      <c r="D22" s="57" t="s">
        <v>659</v>
      </c>
      <c r="E22" s="57" t="s">
        <v>660</v>
      </c>
      <c r="F22" s="57" t="s">
        <v>661</v>
      </c>
      <c r="G22" s="57" t="s">
        <v>93</v>
      </c>
      <c r="H22" s="57"/>
      <c r="I22" s="57" t="s">
        <v>336</v>
      </c>
      <c r="J22" s="57" t="s">
        <v>650</v>
      </c>
      <c r="K22" s="58" t="s">
        <v>662</v>
      </c>
      <c r="L22" s="57" t="s">
        <v>651</v>
      </c>
      <c r="M22" s="61" t="s">
        <v>601</v>
      </c>
      <c r="N22" s="179" t="s">
        <v>663</v>
      </c>
    </row>
    <row r="23" spans="1:14" ht="96" customHeight="1">
      <c r="A23" s="56">
        <v>12</v>
      </c>
      <c r="B23" s="62" t="s">
        <v>644</v>
      </c>
      <c r="C23" s="57" t="s">
        <v>142</v>
      </c>
      <c r="D23" s="57" t="s">
        <v>176</v>
      </c>
      <c r="E23" s="57" t="s">
        <v>664</v>
      </c>
      <c r="F23" s="57" t="s">
        <v>509</v>
      </c>
      <c r="G23" s="57" t="s">
        <v>93</v>
      </c>
      <c r="H23" s="57"/>
      <c r="I23" s="57" t="s">
        <v>326</v>
      </c>
      <c r="J23" s="57" t="s">
        <v>665</v>
      </c>
      <c r="K23" s="58"/>
      <c r="L23" s="57"/>
      <c r="M23" s="61" t="s">
        <v>601</v>
      </c>
      <c r="N23" s="179" t="s">
        <v>666</v>
      </c>
    </row>
    <row r="24" spans="1:14" ht="96" customHeight="1">
      <c r="A24" s="56">
        <v>13</v>
      </c>
      <c r="B24" s="57" t="s">
        <v>667</v>
      </c>
      <c r="C24" s="57" t="s">
        <v>152</v>
      </c>
      <c r="D24" s="57" t="s">
        <v>668</v>
      </c>
      <c r="E24" s="57" t="s">
        <v>669</v>
      </c>
      <c r="F24" s="57" t="s">
        <v>670</v>
      </c>
      <c r="G24" s="57" t="s">
        <v>93</v>
      </c>
      <c r="H24" s="57"/>
      <c r="I24" s="57" t="s">
        <v>336</v>
      </c>
      <c r="J24" s="57" t="s">
        <v>671</v>
      </c>
      <c r="K24" s="58" t="s">
        <v>672</v>
      </c>
      <c r="L24" s="57"/>
      <c r="M24" s="61" t="s">
        <v>601</v>
      </c>
      <c r="N24" s="179" t="s">
        <v>673</v>
      </c>
    </row>
    <row r="25" spans="1:14" ht="32.1" customHeight="1">
      <c r="A25" s="56">
        <v>14</v>
      </c>
      <c r="B25" s="57" t="s">
        <v>667</v>
      </c>
      <c r="C25" s="57" t="s">
        <v>161</v>
      </c>
      <c r="D25" s="57" t="s">
        <v>674</v>
      </c>
      <c r="E25" s="57"/>
      <c r="F25" s="57" t="s">
        <v>509</v>
      </c>
      <c r="G25" s="57" t="s">
        <v>93</v>
      </c>
      <c r="H25" s="57"/>
      <c r="I25" s="57" t="s">
        <v>336</v>
      </c>
      <c r="J25" s="57" t="s">
        <v>34</v>
      </c>
      <c r="K25" s="58"/>
      <c r="L25" s="57"/>
      <c r="N25" s="179" t="s">
        <v>675</v>
      </c>
    </row>
    <row r="26" spans="1:14" ht="144" customHeight="1">
      <c r="A26" s="56">
        <v>15</v>
      </c>
      <c r="B26" s="57" t="s">
        <v>667</v>
      </c>
      <c r="C26" s="57" t="s">
        <v>168</v>
      </c>
      <c r="D26" s="57" t="s">
        <v>676</v>
      </c>
      <c r="E26" s="57" t="s">
        <v>677</v>
      </c>
      <c r="F26" s="57" t="s">
        <v>678</v>
      </c>
      <c r="G26" s="57" t="s">
        <v>39</v>
      </c>
      <c r="H26" s="57" t="s">
        <v>679</v>
      </c>
      <c r="I26" s="57" t="s">
        <v>336</v>
      </c>
      <c r="J26" s="57" t="s">
        <v>34</v>
      </c>
      <c r="K26" s="58" t="s">
        <v>680</v>
      </c>
      <c r="L26" s="57"/>
      <c r="N26" s="179" t="s">
        <v>681</v>
      </c>
    </row>
    <row r="27" spans="1:14" ht="63.95" customHeight="1">
      <c r="A27" s="56">
        <v>16</v>
      </c>
      <c r="B27" s="57" t="s">
        <v>682</v>
      </c>
      <c r="C27" s="57" t="s">
        <v>174</v>
      </c>
      <c r="D27" s="57" t="s">
        <v>683</v>
      </c>
      <c r="E27" s="57"/>
      <c r="F27" s="57" t="s">
        <v>509</v>
      </c>
      <c r="G27" s="57" t="s">
        <v>684</v>
      </c>
      <c r="H27" s="57" t="s">
        <v>685</v>
      </c>
      <c r="I27" s="57" t="s">
        <v>336</v>
      </c>
      <c r="J27" s="57" t="s">
        <v>686</v>
      </c>
      <c r="K27" s="58" t="s">
        <v>687</v>
      </c>
      <c r="L27" s="57"/>
      <c r="N27" s="179" t="s">
        <v>688</v>
      </c>
    </row>
    <row r="28" spans="1:14" ht="32.1" customHeight="1">
      <c r="A28" s="56">
        <v>17</v>
      </c>
      <c r="B28" s="57" t="s">
        <v>682</v>
      </c>
      <c r="C28" s="57" t="s">
        <v>689</v>
      </c>
      <c r="D28" s="57" t="s">
        <v>690</v>
      </c>
      <c r="E28" s="57" t="s">
        <v>691</v>
      </c>
      <c r="F28" s="57" t="s">
        <v>509</v>
      </c>
      <c r="G28" s="57" t="s">
        <v>93</v>
      </c>
      <c r="H28" s="57" t="s">
        <v>692</v>
      </c>
      <c r="I28" s="57" t="s">
        <v>336</v>
      </c>
      <c r="J28" s="57" t="s">
        <v>693</v>
      </c>
      <c r="K28" s="58" t="s">
        <v>694</v>
      </c>
      <c r="L28" s="57"/>
      <c r="N28" s="179" t="s">
        <v>695</v>
      </c>
    </row>
    <row r="29" spans="1:14" ht="111.95" customHeight="1">
      <c r="A29" s="56">
        <v>18</v>
      </c>
      <c r="B29" s="57" t="s">
        <v>682</v>
      </c>
      <c r="C29" s="57" t="s">
        <v>696</v>
      </c>
      <c r="D29" s="57" t="s">
        <v>697</v>
      </c>
      <c r="E29" s="57"/>
      <c r="F29" s="57" t="s">
        <v>647</v>
      </c>
      <c r="G29" s="57" t="s">
        <v>39</v>
      </c>
      <c r="H29" s="57"/>
      <c r="I29" s="57" t="s">
        <v>336</v>
      </c>
      <c r="J29" s="57" t="s">
        <v>449</v>
      </c>
      <c r="K29" s="58" t="s">
        <v>698</v>
      </c>
      <c r="L29" s="57"/>
      <c r="M29" s="61" t="s">
        <v>601</v>
      </c>
      <c r="N29" s="179" t="s">
        <v>699</v>
      </c>
    </row>
    <row r="30" spans="1:14" ht="63.95" customHeight="1">
      <c r="A30" s="56">
        <v>19</v>
      </c>
      <c r="B30" s="57" t="s">
        <v>682</v>
      </c>
      <c r="C30" s="57" t="s">
        <v>700</v>
      </c>
      <c r="D30" s="57" t="s">
        <v>701</v>
      </c>
      <c r="E30" s="57" t="s">
        <v>702</v>
      </c>
      <c r="F30" s="57" t="s">
        <v>647</v>
      </c>
      <c r="G30" s="57" t="s">
        <v>39</v>
      </c>
      <c r="H30" s="57"/>
      <c r="I30" s="57" t="s">
        <v>336</v>
      </c>
      <c r="J30" s="57" t="s">
        <v>455</v>
      </c>
      <c r="K30" s="58"/>
      <c r="L30" s="57"/>
      <c r="M30" s="61"/>
      <c r="N30" s="179" t="s">
        <v>703</v>
      </c>
    </row>
    <row r="31" spans="1:14" ht="32.1" customHeight="1">
      <c r="A31" s="56">
        <v>20</v>
      </c>
      <c r="B31" s="57" t="s">
        <v>682</v>
      </c>
      <c r="C31" s="57" t="s">
        <v>192</v>
      </c>
      <c r="D31" s="57" t="s">
        <v>704</v>
      </c>
      <c r="E31" s="57"/>
      <c r="F31" s="57" t="s">
        <v>705</v>
      </c>
      <c r="G31" s="57" t="s">
        <v>93</v>
      </c>
      <c r="H31" s="57"/>
      <c r="I31" s="57" t="s">
        <v>336</v>
      </c>
      <c r="J31" s="57" t="s">
        <v>706</v>
      </c>
      <c r="K31" s="58"/>
      <c r="L31" s="57"/>
      <c r="N31" s="179" t="s">
        <v>707</v>
      </c>
    </row>
    <row r="32" spans="1:14" ht="32.1" customHeight="1">
      <c r="A32" s="56">
        <v>21</v>
      </c>
      <c r="B32" s="57" t="s">
        <v>708</v>
      </c>
      <c r="C32" s="57" t="s">
        <v>709</v>
      </c>
      <c r="D32" s="57" t="s">
        <v>710</v>
      </c>
      <c r="E32" s="57" t="s">
        <v>711</v>
      </c>
      <c r="F32" s="57" t="s">
        <v>712</v>
      </c>
      <c r="G32" s="57" t="s">
        <v>93</v>
      </c>
      <c r="H32" s="57"/>
      <c r="I32" s="57" t="s">
        <v>326</v>
      </c>
      <c r="J32" s="57" t="s">
        <v>713</v>
      </c>
      <c r="K32" s="58"/>
      <c r="L32" s="57"/>
      <c r="N32" s="179" t="s">
        <v>714</v>
      </c>
    </row>
    <row r="33" spans="1:14" ht="63.95" customHeight="1">
      <c r="A33" s="56">
        <v>22</v>
      </c>
      <c r="B33" s="57" t="s">
        <v>708</v>
      </c>
      <c r="C33" s="57" t="s">
        <v>715</v>
      </c>
      <c r="D33" s="57" t="s">
        <v>716</v>
      </c>
      <c r="E33" s="57"/>
      <c r="F33" s="57" t="s">
        <v>509</v>
      </c>
      <c r="G33" s="57" t="s">
        <v>93</v>
      </c>
      <c r="H33" s="57"/>
      <c r="I33" s="57" t="s">
        <v>471</v>
      </c>
      <c r="J33" s="57" t="s">
        <v>66</v>
      </c>
      <c r="K33" s="58"/>
      <c r="L33" s="57"/>
      <c r="N33" s="179" t="s">
        <v>717</v>
      </c>
    </row>
    <row r="34" spans="1:14" ht="48" customHeight="1">
      <c r="A34" s="64">
        <v>23</v>
      </c>
      <c r="B34" s="65" t="s">
        <v>708</v>
      </c>
      <c r="C34" s="65" t="s">
        <v>718</v>
      </c>
      <c r="D34" s="65" t="s">
        <v>719</v>
      </c>
      <c r="E34" s="65"/>
      <c r="F34" s="65" t="s">
        <v>720</v>
      </c>
      <c r="G34" s="65" t="s">
        <v>93</v>
      </c>
      <c r="H34" s="65"/>
      <c r="I34" s="65" t="s">
        <v>336</v>
      </c>
      <c r="J34" s="65" t="s">
        <v>353</v>
      </c>
      <c r="K34" s="66"/>
      <c r="L34" s="65"/>
      <c r="N34" s="179" t="s">
        <v>721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
  <sheetViews>
    <sheetView workbookViewId="0">
      <selection activeCell="N36" sqref="N36"/>
    </sheetView>
  </sheetViews>
  <sheetFormatPr defaultColWidth="11" defaultRowHeight="15.9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
  <sheetViews>
    <sheetView workbookViewId="0">
      <selection activeCell="N34" sqref="N34"/>
    </sheetView>
  </sheetViews>
  <sheetFormatPr defaultColWidth="11" defaultRowHeight="15.9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4:I23"/>
  <sheetViews>
    <sheetView workbookViewId="0">
      <selection activeCell="J33" sqref="J33"/>
    </sheetView>
  </sheetViews>
  <sheetFormatPr defaultColWidth="11" defaultRowHeight="15.95"/>
  <cols>
    <col min="2" max="2" width="11" bestFit="1" customWidth="1"/>
    <col min="3" max="3" width="39.875" bestFit="1" customWidth="1"/>
    <col min="4" max="4" width="18.625" customWidth="1"/>
    <col min="5" max="5" width="23.375" customWidth="1"/>
    <col min="6" max="7" width="18.625" customWidth="1"/>
    <col min="8" max="8" width="18.625" style="150" customWidth="1"/>
    <col min="9" max="9" width="18.625" customWidth="1"/>
  </cols>
  <sheetData>
    <row r="4" spans="3:9" ht="17.100000000000001" customHeight="1" thickBot="1"/>
    <row r="5" spans="3:9">
      <c r="C5" s="24" t="s">
        <v>722</v>
      </c>
      <c r="D5" s="25" t="s">
        <v>14</v>
      </c>
      <c r="E5" s="25" t="s">
        <v>562</v>
      </c>
      <c r="F5" s="25" t="s">
        <v>563</v>
      </c>
      <c r="G5" s="25" t="s">
        <v>564</v>
      </c>
      <c r="H5" s="151" t="s">
        <v>10</v>
      </c>
      <c r="I5" s="26" t="s">
        <v>568</v>
      </c>
    </row>
    <row r="6" spans="3:9">
      <c r="C6" s="27" t="s">
        <v>14</v>
      </c>
      <c r="D6" s="11">
        <v>91000</v>
      </c>
      <c r="E6" s="11">
        <v>34000</v>
      </c>
      <c r="F6" s="12">
        <f>IFERROR(E6/D6, 0)</f>
        <v>0.37362637362637363</v>
      </c>
      <c r="G6" s="28">
        <v>1900000</v>
      </c>
      <c r="H6" s="152">
        <f>G6/D6</f>
        <v>20.87912087912088</v>
      </c>
      <c r="I6" s="29">
        <v>731</v>
      </c>
    </row>
    <row r="7" spans="3:9">
      <c r="C7" s="30" t="s">
        <v>569</v>
      </c>
      <c r="D7" s="11">
        <v>0</v>
      </c>
      <c r="E7" s="11">
        <v>0</v>
      </c>
      <c r="F7" s="11">
        <v>0</v>
      </c>
      <c r="G7" s="11">
        <v>0</v>
      </c>
      <c r="H7" s="11">
        <v>0</v>
      </c>
      <c r="I7" s="29">
        <f>IFERROR((H7+#REF!)/D7, 0)</f>
        <v>0</v>
      </c>
    </row>
    <row r="8" spans="3:9">
      <c r="C8" s="30" t="s">
        <v>570</v>
      </c>
      <c r="D8" s="11">
        <v>0</v>
      </c>
      <c r="E8" s="11">
        <v>0</v>
      </c>
      <c r="F8" s="11">
        <v>0</v>
      </c>
      <c r="G8" s="11">
        <v>0</v>
      </c>
      <c r="H8" s="11">
        <v>0</v>
      </c>
      <c r="I8" s="29">
        <f>IFERROR((H8+#REF!)/D8, 0)</f>
        <v>0</v>
      </c>
    </row>
    <row r="9" spans="3:9">
      <c r="C9" s="30" t="s">
        <v>571</v>
      </c>
      <c r="D9" s="11">
        <v>0</v>
      </c>
      <c r="E9" s="11">
        <v>0</v>
      </c>
      <c r="F9" s="11">
        <v>0</v>
      </c>
      <c r="G9" s="11">
        <v>0</v>
      </c>
      <c r="H9" s="11">
        <v>0</v>
      </c>
      <c r="I9" s="29">
        <f>IFERROR((H9+#REF!)/D9, 0)</f>
        <v>0</v>
      </c>
    </row>
    <row r="10" spans="3:9">
      <c r="C10" s="30" t="s">
        <v>572</v>
      </c>
      <c r="D10" s="11">
        <v>0</v>
      </c>
      <c r="E10" s="11">
        <v>0</v>
      </c>
      <c r="F10" s="11">
        <v>0</v>
      </c>
      <c r="G10" s="11">
        <v>0</v>
      </c>
      <c r="H10" s="11">
        <v>0</v>
      </c>
      <c r="I10" s="29">
        <f>IFERROR((H10+#REF!)/D10, 0)</f>
        <v>0</v>
      </c>
    </row>
    <row r="11" spans="3:9">
      <c r="C11" s="155" t="s">
        <v>573</v>
      </c>
      <c r="D11" s="156">
        <v>91000</v>
      </c>
      <c r="E11" s="156">
        <v>34000</v>
      </c>
      <c r="F11" s="157">
        <f>IFERROR(E11/D11, 0)</f>
        <v>0.37362637362637363</v>
      </c>
      <c r="G11" s="158">
        <v>1906000</v>
      </c>
      <c r="H11" s="159">
        <f>G11/D11</f>
        <v>20.945054945054945</v>
      </c>
      <c r="I11" s="160">
        <v>731</v>
      </c>
    </row>
    <row r="12" spans="3:9">
      <c r="C12" s="31" t="s">
        <v>574</v>
      </c>
      <c r="D12" s="11">
        <v>6000</v>
      </c>
      <c r="E12" s="11">
        <v>3000</v>
      </c>
      <c r="F12" s="12">
        <f>IFERROR(E12/D12, 0)</f>
        <v>0.5</v>
      </c>
      <c r="G12" s="28">
        <v>559000</v>
      </c>
      <c r="H12" s="152">
        <f>G12/D12</f>
        <v>93.166666666666671</v>
      </c>
      <c r="I12" s="29">
        <v>3274</v>
      </c>
    </row>
    <row r="13" spans="3:9">
      <c r="C13" s="31" t="s">
        <v>575</v>
      </c>
      <c r="D13" s="11">
        <f>D11-D12</f>
        <v>85000</v>
      </c>
      <c r="E13" s="11">
        <f>E11-E12</f>
        <v>31000</v>
      </c>
      <c r="F13" s="12">
        <f>IFERROR(E13/D13, 0)</f>
        <v>0.36470588235294116</v>
      </c>
      <c r="G13" s="28">
        <f>G11-G12</f>
        <v>1347000</v>
      </c>
      <c r="H13" s="152">
        <f>G13/D13</f>
        <v>15.847058823529412</v>
      </c>
      <c r="I13" s="29">
        <v>492</v>
      </c>
    </row>
    <row r="14" spans="3:9">
      <c r="C14" s="32" t="s">
        <v>576</v>
      </c>
      <c r="D14" s="11">
        <v>10000</v>
      </c>
      <c r="E14" s="11">
        <v>6000</v>
      </c>
      <c r="F14" s="12">
        <f>IFERROR(E14/D14, 0)</f>
        <v>0.6</v>
      </c>
      <c r="G14" s="28">
        <v>230000</v>
      </c>
      <c r="H14" s="152">
        <f>G14/D14</f>
        <v>23</v>
      </c>
      <c r="I14" s="29">
        <v>932</v>
      </c>
    </row>
    <row r="15" spans="3:9">
      <c r="C15" s="161" t="s">
        <v>581</v>
      </c>
      <c r="D15" s="162">
        <f>D13-D14</f>
        <v>75000</v>
      </c>
      <c r="E15" s="162">
        <f>E13-E14</f>
        <v>25000</v>
      </c>
      <c r="F15" s="163">
        <f>IFERROR(E15/D15, 0)</f>
        <v>0.33333333333333331</v>
      </c>
      <c r="G15" s="164">
        <f>G13-G14</f>
        <v>1117000</v>
      </c>
      <c r="H15" s="165">
        <f>G15/D15</f>
        <v>14.893333333333333</v>
      </c>
      <c r="I15" s="166">
        <v>492</v>
      </c>
    </row>
    <row r="16" spans="3:9">
      <c r="C16" s="33" t="s">
        <v>15</v>
      </c>
      <c r="D16" s="11">
        <v>0</v>
      </c>
      <c r="E16" s="11">
        <v>0</v>
      </c>
      <c r="F16" s="11">
        <v>0</v>
      </c>
      <c r="G16" s="11">
        <v>0</v>
      </c>
      <c r="H16" s="11">
        <v>0</v>
      </c>
      <c r="I16" s="29">
        <f>IFERROR((H16+#REF!)/D16, 0)</f>
        <v>0</v>
      </c>
    </row>
    <row r="17" spans="3:9">
      <c r="C17" s="33" t="s">
        <v>17</v>
      </c>
      <c r="D17" s="11">
        <f>D15-D16</f>
        <v>75000</v>
      </c>
      <c r="E17" s="11">
        <f>E15-E16</f>
        <v>25000</v>
      </c>
      <c r="F17" s="12">
        <f>IFERROR(E17/D17, 0)</f>
        <v>0.33333333333333331</v>
      </c>
      <c r="G17" s="28">
        <f>G15-G16</f>
        <v>1117000</v>
      </c>
      <c r="H17" s="152">
        <f>G17/D17</f>
        <v>14.893333333333333</v>
      </c>
      <c r="I17" s="29">
        <v>492</v>
      </c>
    </row>
    <row r="18" spans="3:9">
      <c r="C18" s="39" t="s">
        <v>18</v>
      </c>
      <c r="D18" s="11">
        <v>50000</v>
      </c>
      <c r="E18" s="11">
        <v>21000</v>
      </c>
      <c r="F18" s="12">
        <f>IFERROR(E18/D18, 0)</f>
        <v>0.42</v>
      </c>
      <c r="G18" s="28">
        <v>847000</v>
      </c>
      <c r="H18" s="152">
        <f>G18/D18</f>
        <v>16.940000000000001</v>
      </c>
      <c r="I18" s="29">
        <v>583</v>
      </c>
    </row>
    <row r="19" spans="3:9">
      <c r="C19" s="38" t="s">
        <v>578</v>
      </c>
      <c r="D19" s="11"/>
      <c r="E19" s="11"/>
      <c r="F19" s="12"/>
      <c r="G19" s="28"/>
      <c r="H19" s="152"/>
      <c r="I19" s="29"/>
    </row>
    <row r="20" spans="3:9">
      <c r="C20" s="39" t="s">
        <v>19</v>
      </c>
      <c r="D20" s="11">
        <v>23000</v>
      </c>
      <c r="E20" s="11">
        <v>3000</v>
      </c>
      <c r="F20" s="12">
        <f>IFERROR(E20/D20, 0)</f>
        <v>0.13043478260869565</v>
      </c>
      <c r="G20" s="28">
        <v>222000</v>
      </c>
      <c r="H20" s="152">
        <f>G20/D20</f>
        <v>9.6521739130434785</v>
      </c>
      <c r="I20" s="29">
        <v>263</v>
      </c>
    </row>
    <row r="21" spans="3:9">
      <c r="C21" s="38" t="s">
        <v>578</v>
      </c>
      <c r="D21" s="11"/>
      <c r="E21" s="11"/>
      <c r="F21" s="12"/>
      <c r="G21" s="28"/>
      <c r="H21" s="152"/>
      <c r="I21" s="29"/>
    </row>
    <row r="22" spans="3:9">
      <c r="C22" s="39" t="s">
        <v>20</v>
      </c>
      <c r="D22" s="11">
        <f>D17-(D18+D20)</f>
        <v>2000</v>
      </c>
      <c r="E22" s="11">
        <v>305</v>
      </c>
      <c r="F22" s="12">
        <f>IFERROR(E22/D22, 0)</f>
        <v>0.1525</v>
      </c>
      <c r="G22" s="28">
        <f>G17-(G18+G20)</f>
        <v>48000</v>
      </c>
      <c r="H22" s="152">
        <f>G22/D22</f>
        <v>24</v>
      </c>
      <c r="I22" s="29">
        <v>794</v>
      </c>
    </row>
    <row r="23" spans="3:9" ht="17.100000000000001" customHeight="1" thickBot="1">
      <c r="C23" s="40" t="s">
        <v>578</v>
      </c>
      <c r="D23" s="41"/>
      <c r="E23" s="41"/>
      <c r="F23" s="42"/>
      <c r="G23" s="43"/>
      <c r="H23" s="153"/>
      <c r="I23" s="15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N15"/>
  <sheetViews>
    <sheetView topLeftCell="A4" workbookViewId="0">
      <selection activeCell="G13" sqref="G13"/>
    </sheetView>
  </sheetViews>
  <sheetFormatPr defaultColWidth="11" defaultRowHeight="15.75" customHeight="1"/>
  <cols>
    <col min="1" max="1" width="5" customWidth="1"/>
    <col min="2" max="2" width="20.625" style="17" customWidth="1"/>
    <col min="3" max="3" width="26" style="17" customWidth="1"/>
    <col min="4" max="4" width="12.625" customWidth="1"/>
    <col min="6" max="6" width="64.875" style="7" customWidth="1"/>
    <col min="7" max="7" width="47.125" style="17" customWidth="1"/>
    <col min="8" max="8" width="21.625" style="17" customWidth="1"/>
    <col min="9" max="9" width="16.625" style="17" customWidth="1"/>
    <col min="10" max="10" width="19.875" style="17" customWidth="1"/>
  </cols>
  <sheetData>
    <row r="2" spans="1:14" s="17" customFormat="1" ht="84.95" customHeight="1">
      <c r="A2" s="172" t="s">
        <v>22</v>
      </c>
      <c r="B2" s="172" t="s">
        <v>23</v>
      </c>
      <c r="C2" s="172" t="s">
        <v>486</v>
      </c>
      <c r="D2" s="172" t="s">
        <v>723</v>
      </c>
      <c r="E2" s="172" t="s">
        <v>724</v>
      </c>
      <c r="F2" s="172" t="s">
        <v>487</v>
      </c>
      <c r="G2" s="172" t="s">
        <v>488</v>
      </c>
      <c r="H2" s="172" t="s">
        <v>489</v>
      </c>
      <c r="I2" s="172" t="s">
        <v>320</v>
      </c>
      <c r="J2" s="172" t="s">
        <v>490</v>
      </c>
      <c r="K2" s="18" t="s">
        <v>494</v>
      </c>
      <c r="L2" s="18" t="s">
        <v>495</v>
      </c>
      <c r="M2" s="18" t="s">
        <v>496</v>
      </c>
    </row>
    <row r="3" spans="1:14" ht="51" customHeight="1">
      <c r="A3" s="63">
        <v>1</v>
      </c>
      <c r="B3" s="173" t="s">
        <v>725</v>
      </c>
      <c r="C3" s="7" t="s">
        <v>726</v>
      </c>
      <c r="D3" s="63" t="s">
        <v>39</v>
      </c>
      <c r="E3" s="63" t="s">
        <v>39</v>
      </c>
      <c r="F3" s="7" t="s">
        <v>727</v>
      </c>
      <c r="G3" s="7" t="s">
        <v>728</v>
      </c>
      <c r="H3" s="7" t="s">
        <v>729</v>
      </c>
      <c r="I3" s="7" t="s">
        <v>93</v>
      </c>
      <c r="J3" s="7" t="s">
        <v>730</v>
      </c>
      <c r="K3" s="7" t="s">
        <v>731</v>
      </c>
      <c r="L3" s="7" t="s">
        <v>731</v>
      </c>
      <c r="M3" s="7" t="s">
        <v>731</v>
      </c>
    </row>
    <row r="4" spans="1:14" ht="51" customHeight="1">
      <c r="A4" s="63">
        <v>2</v>
      </c>
      <c r="B4" s="173" t="s">
        <v>732</v>
      </c>
      <c r="C4" s="7" t="s">
        <v>733</v>
      </c>
      <c r="D4" s="63" t="s">
        <v>39</v>
      </c>
      <c r="E4" s="63" t="s">
        <v>39</v>
      </c>
      <c r="F4" s="7" t="s">
        <v>734</v>
      </c>
      <c r="G4" s="7" t="s">
        <v>735</v>
      </c>
      <c r="H4" s="7" t="s">
        <v>736</v>
      </c>
      <c r="I4" s="7" t="s">
        <v>737</v>
      </c>
      <c r="J4" s="7" t="s">
        <v>738</v>
      </c>
      <c r="K4" s="7" t="s">
        <v>731</v>
      </c>
      <c r="L4" s="7" t="s">
        <v>731</v>
      </c>
      <c r="M4" s="63"/>
    </row>
    <row r="5" spans="1:14" ht="51" customHeight="1">
      <c r="A5" s="63">
        <v>3</v>
      </c>
      <c r="B5" s="173" t="s">
        <v>739</v>
      </c>
      <c r="C5" s="7" t="s">
        <v>740</v>
      </c>
      <c r="D5" s="63" t="s">
        <v>741</v>
      </c>
      <c r="E5" s="63" t="s">
        <v>39</v>
      </c>
      <c r="F5" s="7" t="s">
        <v>742</v>
      </c>
      <c r="G5" s="7" t="s">
        <v>743</v>
      </c>
      <c r="H5" s="7" t="s">
        <v>744</v>
      </c>
      <c r="I5" s="7" t="s">
        <v>745</v>
      </c>
      <c r="J5" s="7" t="s">
        <v>746</v>
      </c>
      <c r="K5" s="7" t="s">
        <v>731</v>
      </c>
      <c r="L5" s="7" t="s">
        <v>731</v>
      </c>
      <c r="M5" s="7" t="s">
        <v>747</v>
      </c>
    </row>
    <row r="6" spans="1:14" ht="51" customHeight="1">
      <c r="A6" s="63">
        <v>4</v>
      </c>
      <c r="B6" s="173" t="s">
        <v>739</v>
      </c>
      <c r="C6" s="7" t="s">
        <v>748</v>
      </c>
      <c r="D6" s="63" t="s">
        <v>39</v>
      </c>
      <c r="E6" s="63" t="s">
        <v>39</v>
      </c>
      <c r="F6" s="7" t="s">
        <v>749</v>
      </c>
      <c r="G6" s="7" t="s">
        <v>750</v>
      </c>
      <c r="H6" s="7" t="s">
        <v>751</v>
      </c>
      <c r="I6" s="7" t="s">
        <v>93</v>
      </c>
      <c r="J6" s="7" t="s">
        <v>730</v>
      </c>
      <c r="K6" s="7" t="s">
        <v>731</v>
      </c>
      <c r="L6" s="7" t="s">
        <v>731</v>
      </c>
      <c r="M6" s="7" t="s">
        <v>747</v>
      </c>
    </row>
    <row r="7" spans="1:14" ht="84.95" customHeight="1">
      <c r="A7" s="63">
        <v>5</v>
      </c>
      <c r="B7" s="173" t="s">
        <v>739</v>
      </c>
      <c r="C7" s="7" t="s">
        <v>752</v>
      </c>
      <c r="D7" s="63" t="s">
        <v>339</v>
      </c>
      <c r="E7" s="63" t="s">
        <v>39</v>
      </c>
      <c r="F7" s="7" t="s">
        <v>753</v>
      </c>
      <c r="G7" s="7" t="s">
        <v>754</v>
      </c>
      <c r="H7" s="7" t="s">
        <v>755</v>
      </c>
      <c r="I7" s="7" t="s">
        <v>93</v>
      </c>
      <c r="J7" s="7" t="s">
        <v>730</v>
      </c>
      <c r="K7" s="63" t="s">
        <v>731</v>
      </c>
      <c r="L7" s="7" t="s">
        <v>731</v>
      </c>
      <c r="M7" s="63"/>
    </row>
    <row r="8" spans="1:14" ht="33.950000000000003" customHeight="1">
      <c r="A8" s="63">
        <v>6</v>
      </c>
      <c r="B8" s="174" t="s">
        <v>756</v>
      </c>
      <c r="C8" s="7" t="s">
        <v>757</v>
      </c>
      <c r="D8" s="63" t="s">
        <v>39</v>
      </c>
      <c r="E8" s="63" t="s">
        <v>39</v>
      </c>
      <c r="F8" s="7" t="s">
        <v>758</v>
      </c>
      <c r="G8" s="7" t="s">
        <v>759</v>
      </c>
      <c r="H8" s="7" t="s">
        <v>760</v>
      </c>
      <c r="I8" s="7" t="s">
        <v>93</v>
      </c>
      <c r="J8" s="7" t="s">
        <v>730</v>
      </c>
      <c r="K8" s="7" t="s">
        <v>761</v>
      </c>
      <c r="L8" s="7" t="s">
        <v>731</v>
      </c>
      <c r="M8" s="7" t="s">
        <v>761</v>
      </c>
    </row>
    <row r="9" spans="1:14" ht="84.95" customHeight="1">
      <c r="A9" s="63">
        <v>7</v>
      </c>
      <c r="B9" s="174" t="s">
        <v>756</v>
      </c>
      <c r="C9" s="7" t="s">
        <v>762</v>
      </c>
      <c r="D9" s="63" t="s">
        <v>39</v>
      </c>
      <c r="E9" s="63" t="s">
        <v>39</v>
      </c>
      <c r="F9" s="7" t="s">
        <v>763</v>
      </c>
      <c r="G9" s="7" t="s">
        <v>764</v>
      </c>
      <c r="H9" s="7" t="s">
        <v>765</v>
      </c>
      <c r="I9" s="7" t="s">
        <v>93</v>
      </c>
      <c r="J9" s="7" t="s">
        <v>730</v>
      </c>
      <c r="K9" s="63"/>
      <c r="L9" s="7" t="s">
        <v>731</v>
      </c>
      <c r="M9" s="63"/>
      <c r="N9" s="7" t="s">
        <v>766</v>
      </c>
    </row>
    <row r="10" spans="1:14" ht="84.95" customHeight="1">
      <c r="A10" s="63">
        <v>8</v>
      </c>
      <c r="B10" s="174" t="s">
        <v>756</v>
      </c>
      <c r="C10" s="7" t="s">
        <v>767</v>
      </c>
      <c r="D10" s="63" t="s">
        <v>93</v>
      </c>
      <c r="E10" s="63" t="s">
        <v>39</v>
      </c>
      <c r="F10" s="7" t="s">
        <v>768</v>
      </c>
      <c r="G10" s="7" t="s">
        <v>769</v>
      </c>
      <c r="H10" s="7" t="s">
        <v>765</v>
      </c>
      <c r="I10" s="7" t="s">
        <v>93</v>
      </c>
      <c r="J10" s="7" t="s">
        <v>730</v>
      </c>
      <c r="K10" s="63"/>
      <c r="L10" s="63" t="s">
        <v>731</v>
      </c>
      <c r="M10" s="63"/>
      <c r="N10" s="7" t="s">
        <v>766</v>
      </c>
    </row>
    <row r="11" spans="1:14" ht="84.95" customHeight="1">
      <c r="A11" s="63">
        <v>9</v>
      </c>
      <c r="B11" s="174" t="s">
        <v>756</v>
      </c>
      <c r="C11" s="7" t="s">
        <v>770</v>
      </c>
      <c r="D11" s="63" t="s">
        <v>339</v>
      </c>
      <c r="E11" s="63" t="s">
        <v>39</v>
      </c>
      <c r="F11" s="7" t="s">
        <v>771</v>
      </c>
      <c r="G11" s="7" t="s">
        <v>772</v>
      </c>
      <c r="H11" s="7" t="s">
        <v>765</v>
      </c>
      <c r="I11" s="7" t="s">
        <v>93</v>
      </c>
      <c r="J11" s="7" t="s">
        <v>730</v>
      </c>
      <c r="K11" s="63"/>
      <c r="L11" s="63" t="s">
        <v>731</v>
      </c>
      <c r="M11" s="63"/>
      <c r="N11" s="7" t="s">
        <v>773</v>
      </c>
    </row>
    <row r="12" spans="1:14" ht="33.950000000000003" customHeight="1">
      <c r="A12" s="63">
        <v>10</v>
      </c>
      <c r="B12" s="175" t="s">
        <v>774</v>
      </c>
      <c r="C12" s="7" t="s">
        <v>775</v>
      </c>
      <c r="D12" s="63" t="s">
        <v>39</v>
      </c>
      <c r="E12" s="63" t="s">
        <v>39</v>
      </c>
      <c r="F12" s="7" t="s">
        <v>776</v>
      </c>
      <c r="G12" s="7" t="s">
        <v>777</v>
      </c>
      <c r="H12" s="7" t="s">
        <v>778</v>
      </c>
      <c r="I12" s="7" t="s">
        <v>93</v>
      </c>
      <c r="J12" s="7" t="s">
        <v>730</v>
      </c>
      <c r="K12" s="63" t="s">
        <v>731</v>
      </c>
      <c r="L12" s="63" t="s">
        <v>731</v>
      </c>
      <c r="M12" s="63" t="s">
        <v>731</v>
      </c>
    </row>
    <row r="13" spans="1:14" ht="33.950000000000003" customHeight="1">
      <c r="A13" s="63">
        <v>11</v>
      </c>
      <c r="B13" s="175" t="s">
        <v>779</v>
      </c>
      <c r="C13" s="7" t="s">
        <v>780</v>
      </c>
      <c r="D13" s="63" t="s">
        <v>39</v>
      </c>
      <c r="E13" s="63" t="s">
        <v>39</v>
      </c>
      <c r="F13" s="7" t="s">
        <v>781</v>
      </c>
      <c r="G13" s="7" t="s">
        <v>782</v>
      </c>
      <c r="H13" s="7" t="s">
        <v>783</v>
      </c>
      <c r="I13" s="7" t="s">
        <v>93</v>
      </c>
      <c r="J13" s="7" t="s">
        <v>730</v>
      </c>
      <c r="K13" s="63" t="s">
        <v>731</v>
      </c>
      <c r="L13" s="63" t="s">
        <v>731</v>
      </c>
      <c r="M13" s="63" t="s">
        <v>731</v>
      </c>
    </row>
    <row r="14" spans="1:14" ht="33.950000000000003" customHeight="1">
      <c r="A14" s="63">
        <v>12</v>
      </c>
      <c r="B14" s="175" t="s">
        <v>784</v>
      </c>
      <c r="C14" s="7"/>
      <c r="D14" s="63"/>
      <c r="E14" s="63"/>
      <c r="G14" s="7"/>
      <c r="H14" s="7"/>
      <c r="I14" s="7"/>
      <c r="J14" s="7"/>
      <c r="K14" s="63"/>
      <c r="L14" s="63"/>
      <c r="M14" s="63"/>
    </row>
    <row r="15" spans="1:14" ht="51" customHeight="1">
      <c r="A15" s="63">
        <v>13</v>
      </c>
      <c r="B15" s="175" t="s">
        <v>785</v>
      </c>
      <c r="C15" s="7" t="s">
        <v>786</v>
      </c>
      <c r="D15" s="63" t="s">
        <v>787</v>
      </c>
      <c r="E15" s="63" t="s">
        <v>39</v>
      </c>
      <c r="F15" s="7" t="s">
        <v>788</v>
      </c>
      <c r="G15" s="7" t="s">
        <v>789</v>
      </c>
      <c r="H15" s="7" t="s">
        <v>790</v>
      </c>
      <c r="I15" s="7" t="s">
        <v>745</v>
      </c>
      <c r="J15" s="7" t="s">
        <v>791</v>
      </c>
      <c r="K15" s="63"/>
      <c r="L15" s="63" t="s">
        <v>731</v>
      </c>
      <c r="M15" s="63"/>
      <c r="N15" s="7" t="s">
        <v>792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
  <sheetViews>
    <sheetView workbookViewId="0">
      <selection activeCell="S37" sqref="S37"/>
    </sheetView>
  </sheetViews>
  <sheetFormatPr defaultColWidth="11" defaultRowHeight="15.9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5"/>
  </sheetPr>
  <dimension ref="A1"/>
  <sheetViews>
    <sheetView workbookViewId="0">
      <selection activeCell="X24" sqref="X24"/>
    </sheetView>
  </sheetViews>
  <sheetFormatPr defaultColWidth="11" defaultRowHeight="15.9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
  <sheetViews>
    <sheetView workbookViewId="0">
      <selection activeCell="M40" sqref="M40"/>
    </sheetView>
  </sheetViews>
  <sheetFormatPr defaultColWidth="11" defaultRowHeight="15.9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Q52"/>
  <sheetViews>
    <sheetView zoomScale="92" workbookViewId="0">
      <selection activeCell="N2" sqref="N2:P32"/>
    </sheetView>
  </sheetViews>
  <sheetFormatPr defaultColWidth="11" defaultRowHeight="15.95"/>
  <cols>
    <col min="1" max="1" width="11" style="19" customWidth="1"/>
    <col min="2" max="2" width="18.625" style="19" customWidth="1"/>
    <col min="3" max="3" width="25.5" style="19" customWidth="1"/>
    <col min="4" max="5" width="13.125" style="19" customWidth="1"/>
    <col min="6" max="6" width="46.875" style="19" customWidth="1"/>
    <col min="7" max="7" width="47.5" style="19" customWidth="1"/>
    <col min="8" max="11" width="13.5" style="19" customWidth="1"/>
    <col min="12" max="12" width="13.5" style="20" customWidth="1"/>
    <col min="13" max="16" width="13.5" style="19" customWidth="1"/>
    <col min="17" max="17" width="22.375" style="19" customWidth="1"/>
    <col min="18" max="19" width="11" style="19" customWidth="1"/>
    <col min="20" max="16384" width="11" style="19"/>
  </cols>
  <sheetData>
    <row r="1" spans="1:16" s="17" customFormat="1" ht="68.099999999999994" customHeight="1">
      <c r="A1" s="18" t="s">
        <v>22</v>
      </c>
      <c r="B1" s="18" t="s">
        <v>23</v>
      </c>
      <c r="C1" s="18" t="s">
        <v>486</v>
      </c>
      <c r="D1" s="18" t="s">
        <v>723</v>
      </c>
      <c r="E1" s="18" t="s">
        <v>793</v>
      </c>
      <c r="F1" s="18" t="s">
        <v>487</v>
      </c>
      <c r="G1" s="18" t="s">
        <v>488</v>
      </c>
      <c r="H1" s="18" t="s">
        <v>489</v>
      </c>
      <c r="I1" s="18" t="s">
        <v>320</v>
      </c>
      <c r="J1" s="18" t="s">
        <v>490</v>
      </c>
      <c r="K1" s="18" t="s">
        <v>491</v>
      </c>
      <c r="L1" s="10" t="s">
        <v>492</v>
      </c>
      <c r="M1" s="18" t="s">
        <v>493</v>
      </c>
      <c r="N1" s="18" t="s">
        <v>494</v>
      </c>
      <c r="O1" s="18" t="s">
        <v>495</v>
      </c>
      <c r="P1" s="18" t="s">
        <v>496</v>
      </c>
    </row>
    <row r="2" spans="1:16" ht="33.950000000000003" customHeight="1">
      <c r="B2" s="149" t="s">
        <v>507</v>
      </c>
      <c r="C2" s="19">
        <v>1</v>
      </c>
      <c r="D2" s="19" t="s">
        <v>39</v>
      </c>
      <c r="E2" s="19" t="s">
        <v>39</v>
      </c>
      <c r="F2" s="19" t="s">
        <v>508</v>
      </c>
      <c r="H2" s="19" t="s">
        <v>509</v>
      </c>
      <c r="L2" s="21" t="s">
        <v>510</v>
      </c>
      <c r="N2" s="19" t="s">
        <v>731</v>
      </c>
      <c r="P2" s="19" t="s">
        <v>731</v>
      </c>
    </row>
    <row r="3" spans="1:16" ht="33.950000000000003" customHeight="1">
      <c r="B3" s="149" t="s">
        <v>794</v>
      </c>
      <c r="C3" s="19">
        <v>2</v>
      </c>
      <c r="D3" s="19" t="s">
        <v>39</v>
      </c>
      <c r="E3" s="19" t="s">
        <v>39</v>
      </c>
      <c r="F3" s="19" t="s">
        <v>511</v>
      </c>
      <c r="H3" s="19" t="s">
        <v>512</v>
      </c>
      <c r="P3" s="19" t="s">
        <v>731</v>
      </c>
    </row>
    <row r="4" spans="1:16" ht="33.950000000000003" customHeight="1">
      <c r="B4" s="149" t="s">
        <v>513</v>
      </c>
      <c r="C4" s="19">
        <v>3</v>
      </c>
      <c r="D4" s="19" t="s">
        <v>39</v>
      </c>
      <c r="E4" s="19" t="s">
        <v>39</v>
      </c>
      <c r="F4" s="19" t="s">
        <v>514</v>
      </c>
      <c r="G4" s="22" t="s">
        <v>515</v>
      </c>
      <c r="H4" s="19" t="s">
        <v>509</v>
      </c>
      <c r="L4" s="21" t="s">
        <v>516</v>
      </c>
      <c r="P4" s="19" t="s">
        <v>731</v>
      </c>
    </row>
    <row r="5" spans="1:16" ht="84.95" customHeight="1">
      <c r="B5" s="149" t="s">
        <v>517</v>
      </c>
      <c r="C5" s="19">
        <v>4</v>
      </c>
      <c r="D5" s="19" t="s">
        <v>39</v>
      </c>
      <c r="E5" s="19" t="s">
        <v>39</v>
      </c>
      <c r="F5" s="19" t="s">
        <v>518</v>
      </c>
      <c r="G5" s="19" t="s">
        <v>519</v>
      </c>
      <c r="H5" s="19" t="s">
        <v>509</v>
      </c>
      <c r="N5" s="19" t="s">
        <v>731</v>
      </c>
      <c r="P5" s="19" t="s">
        <v>731</v>
      </c>
    </row>
    <row r="6" spans="1:16" ht="33.950000000000003" hidden="1" customHeight="1">
      <c r="B6" s="19" t="s">
        <v>517</v>
      </c>
      <c r="C6" s="19" t="s">
        <v>795</v>
      </c>
      <c r="E6" s="19" t="s">
        <v>39</v>
      </c>
      <c r="G6" s="19" t="s">
        <v>796</v>
      </c>
    </row>
    <row r="7" spans="1:16" ht="68.099999999999994" hidden="1" customHeight="1">
      <c r="B7" s="19" t="s">
        <v>517</v>
      </c>
      <c r="C7" s="19" t="s">
        <v>797</v>
      </c>
      <c r="G7" s="22" t="s">
        <v>798</v>
      </c>
      <c r="L7" s="21" t="s">
        <v>799</v>
      </c>
    </row>
    <row r="8" spans="1:16" ht="153" hidden="1" customHeight="1">
      <c r="B8" s="19" t="s">
        <v>517</v>
      </c>
      <c r="C8" s="19" t="s">
        <v>800</v>
      </c>
      <c r="G8" s="22" t="s">
        <v>801</v>
      </c>
      <c r="L8" s="21" t="s">
        <v>802</v>
      </c>
    </row>
    <row r="9" spans="1:16" ht="153" hidden="1" customHeight="1">
      <c r="B9" s="19" t="s">
        <v>517</v>
      </c>
      <c r="C9" s="19" t="s">
        <v>803</v>
      </c>
      <c r="G9" s="22" t="s">
        <v>804</v>
      </c>
    </row>
    <row r="10" spans="1:16" ht="170.1" hidden="1" customHeight="1">
      <c r="B10" s="19" t="s">
        <v>517</v>
      </c>
      <c r="C10" s="19" t="s">
        <v>805</v>
      </c>
      <c r="E10" s="19" t="s">
        <v>39</v>
      </c>
      <c r="G10" s="22" t="s">
        <v>806</v>
      </c>
      <c r="L10" s="21" t="s">
        <v>807</v>
      </c>
    </row>
    <row r="11" spans="1:16" ht="51" customHeight="1">
      <c r="B11" s="149" t="s">
        <v>520</v>
      </c>
      <c r="C11" s="19">
        <v>5</v>
      </c>
      <c r="D11" s="19" t="s">
        <v>39</v>
      </c>
      <c r="E11" s="19" t="s">
        <v>39</v>
      </c>
      <c r="F11" s="19" t="s">
        <v>521</v>
      </c>
      <c r="G11" s="19" t="s">
        <v>522</v>
      </c>
      <c r="H11" s="19" t="s">
        <v>512</v>
      </c>
    </row>
    <row r="12" spans="1:16" ht="33.950000000000003" hidden="1" customHeight="1">
      <c r="B12" s="19" t="s">
        <v>520</v>
      </c>
      <c r="C12" s="19" t="s">
        <v>808</v>
      </c>
      <c r="G12" s="19" t="s">
        <v>809</v>
      </c>
    </row>
    <row r="13" spans="1:16" ht="153" hidden="1" customHeight="1">
      <c r="B13" s="19" t="s">
        <v>520</v>
      </c>
      <c r="C13" s="19" t="s">
        <v>810</v>
      </c>
      <c r="G13" s="22" t="s">
        <v>811</v>
      </c>
      <c r="L13" s="21" t="s">
        <v>812</v>
      </c>
    </row>
    <row r="14" spans="1:16" ht="33.950000000000003" hidden="1" customHeight="1">
      <c r="B14" s="19" t="s">
        <v>520</v>
      </c>
      <c r="C14" s="19" t="s">
        <v>813</v>
      </c>
      <c r="G14" s="22" t="s">
        <v>814</v>
      </c>
    </row>
    <row r="15" spans="1:16" ht="33.950000000000003" hidden="1" customHeight="1">
      <c r="B15" s="19" t="s">
        <v>520</v>
      </c>
      <c r="C15" s="19" t="s">
        <v>815</v>
      </c>
      <c r="G15" s="22" t="s">
        <v>816</v>
      </c>
    </row>
    <row r="16" spans="1:16" ht="221.1" hidden="1" customHeight="1">
      <c r="B16" s="19" t="s">
        <v>520</v>
      </c>
      <c r="C16" s="19" t="s">
        <v>817</v>
      </c>
      <c r="E16" s="19" t="s">
        <v>39</v>
      </c>
      <c r="G16" s="22" t="s">
        <v>818</v>
      </c>
      <c r="K16" s="134" t="s">
        <v>807</v>
      </c>
    </row>
    <row r="17" spans="2:17" ht="33.950000000000003" customHeight="1">
      <c r="B17" s="167" t="s">
        <v>523</v>
      </c>
      <c r="C17" s="168">
        <v>6</v>
      </c>
      <c r="D17" s="168" t="s">
        <v>39</v>
      </c>
      <c r="E17" s="168" t="s">
        <v>39</v>
      </c>
      <c r="F17" s="168" t="s">
        <v>524</v>
      </c>
      <c r="G17" s="168" t="s">
        <v>525</v>
      </c>
      <c r="H17" s="168" t="s">
        <v>526</v>
      </c>
      <c r="P17" s="19" t="s">
        <v>731</v>
      </c>
    </row>
    <row r="18" spans="2:17" ht="33.950000000000003" hidden="1" customHeight="1">
      <c r="B18" s="19" t="s">
        <v>523</v>
      </c>
      <c r="C18" s="19" t="s">
        <v>819</v>
      </c>
      <c r="G18" s="22" t="s">
        <v>820</v>
      </c>
    </row>
    <row r="19" spans="2:17" ht="33.950000000000003" hidden="1" customHeight="1">
      <c r="B19" s="19" t="s">
        <v>523</v>
      </c>
      <c r="C19" s="19" t="s">
        <v>821</v>
      </c>
      <c r="G19" s="22" t="s">
        <v>822</v>
      </c>
    </row>
    <row r="20" spans="2:17" ht="33.950000000000003" hidden="1" customHeight="1">
      <c r="B20" s="19" t="s">
        <v>523</v>
      </c>
      <c r="C20" s="19" t="s">
        <v>823</v>
      </c>
      <c r="G20" s="22" t="s">
        <v>824</v>
      </c>
    </row>
    <row r="21" spans="2:17" ht="51" hidden="1" customHeight="1">
      <c r="B21" s="19" t="s">
        <v>523</v>
      </c>
      <c r="C21" s="19" t="s">
        <v>825</v>
      </c>
      <c r="E21" s="19" t="s">
        <v>39</v>
      </c>
      <c r="G21" s="22" t="s">
        <v>826</v>
      </c>
    </row>
    <row r="22" spans="2:17" ht="33.950000000000003" hidden="1" customHeight="1">
      <c r="B22" s="19" t="s">
        <v>523</v>
      </c>
      <c r="C22" s="19" t="s">
        <v>827</v>
      </c>
      <c r="G22" s="19" t="s">
        <v>828</v>
      </c>
    </row>
    <row r="23" spans="2:17" ht="33.950000000000003" customHeight="1">
      <c r="B23" s="170" t="s">
        <v>527</v>
      </c>
      <c r="C23" s="136">
        <v>7</v>
      </c>
      <c r="D23" s="136" t="s">
        <v>39</v>
      </c>
      <c r="E23" s="136" t="s">
        <v>39</v>
      </c>
      <c r="F23" s="138" t="s">
        <v>528</v>
      </c>
      <c r="G23" s="136" t="s">
        <v>532</v>
      </c>
      <c r="H23" s="136" t="s">
        <v>533</v>
      </c>
      <c r="I23" s="136"/>
      <c r="J23" s="136"/>
      <c r="K23" s="136"/>
      <c r="L23" s="171" t="s">
        <v>529</v>
      </c>
      <c r="M23" s="136"/>
      <c r="N23" s="136"/>
      <c r="O23" s="136"/>
      <c r="P23" s="136" t="s">
        <v>731</v>
      </c>
    </row>
    <row r="24" spans="2:17" ht="356.1" hidden="1" customHeight="1">
      <c r="B24" s="135" t="s">
        <v>527</v>
      </c>
      <c r="C24" s="23" t="s">
        <v>829</v>
      </c>
      <c r="D24" s="19" t="s">
        <v>39</v>
      </c>
      <c r="F24" s="19" t="s">
        <v>830</v>
      </c>
      <c r="G24" s="19" t="s">
        <v>831</v>
      </c>
    </row>
    <row r="25" spans="2:17" ht="102" hidden="1" customHeight="1">
      <c r="B25" s="135" t="s">
        <v>527</v>
      </c>
      <c r="C25" s="23" t="s">
        <v>832</v>
      </c>
      <c r="D25" s="19" t="s">
        <v>39</v>
      </c>
      <c r="F25" s="19" t="s">
        <v>833</v>
      </c>
      <c r="G25" s="19" t="s">
        <v>834</v>
      </c>
    </row>
    <row r="26" spans="2:17" ht="306" hidden="1" customHeight="1">
      <c r="B26" s="135" t="s">
        <v>527</v>
      </c>
      <c r="C26" s="23" t="s">
        <v>835</v>
      </c>
      <c r="D26" s="19" t="s">
        <v>39</v>
      </c>
      <c r="F26" s="19" t="s">
        <v>577</v>
      </c>
      <c r="G26" s="19" t="s">
        <v>836</v>
      </c>
    </row>
    <row r="27" spans="2:17" ht="404.1" hidden="1" customHeight="1">
      <c r="B27" s="135" t="s">
        <v>527</v>
      </c>
      <c r="C27" s="23" t="s">
        <v>837</v>
      </c>
      <c r="D27" s="19" t="s">
        <v>39</v>
      </c>
      <c r="F27" s="19" t="s">
        <v>838</v>
      </c>
      <c r="G27" s="19" t="s">
        <v>839</v>
      </c>
    </row>
    <row r="28" spans="2:17" ht="68.099999999999994" customHeight="1">
      <c r="B28" s="19" t="s">
        <v>534</v>
      </c>
      <c r="C28" s="19">
        <v>8</v>
      </c>
      <c r="D28" s="19" t="s">
        <v>39</v>
      </c>
      <c r="E28" s="19" t="s">
        <v>39</v>
      </c>
      <c r="F28" s="19" t="s">
        <v>535</v>
      </c>
      <c r="G28" s="22" t="s">
        <v>536</v>
      </c>
      <c r="H28" s="136" t="s">
        <v>537</v>
      </c>
      <c r="P28" s="19" t="s">
        <v>731</v>
      </c>
      <c r="Q28" s="169" t="s">
        <v>840</v>
      </c>
    </row>
    <row r="29" spans="2:17" ht="409.5" hidden="1" customHeight="1">
      <c r="B29" s="19" t="s">
        <v>534</v>
      </c>
      <c r="C29" s="23" t="s">
        <v>841</v>
      </c>
      <c r="E29" s="19" t="s">
        <v>39</v>
      </c>
      <c r="G29" s="19" t="s">
        <v>842</v>
      </c>
    </row>
    <row r="30" spans="2:17" ht="51" customHeight="1">
      <c r="B30" s="19" t="s">
        <v>538</v>
      </c>
      <c r="C30" s="19">
        <v>9</v>
      </c>
      <c r="D30" s="19" t="s">
        <v>39</v>
      </c>
      <c r="E30" s="19" t="s">
        <v>39</v>
      </c>
      <c r="F30" s="19" t="s">
        <v>539</v>
      </c>
      <c r="G30" s="19" t="s">
        <v>540</v>
      </c>
      <c r="H30" s="136" t="s">
        <v>537</v>
      </c>
      <c r="P30" s="19" t="s">
        <v>731</v>
      </c>
      <c r="Q30" s="169" t="s">
        <v>843</v>
      </c>
    </row>
    <row r="31" spans="2:17" ht="33.950000000000003" customHeight="1">
      <c r="B31" s="19" t="s">
        <v>541</v>
      </c>
      <c r="C31" s="19">
        <v>10</v>
      </c>
      <c r="D31" s="19" t="s">
        <v>39</v>
      </c>
      <c r="E31" s="19" t="s">
        <v>39</v>
      </c>
      <c r="F31" s="19" t="s">
        <v>542</v>
      </c>
      <c r="H31" s="136" t="s">
        <v>537</v>
      </c>
      <c r="Q31" s="169" t="s">
        <v>843</v>
      </c>
    </row>
    <row r="32" spans="2:17" ht="33.950000000000003" customHeight="1">
      <c r="B32" s="19" t="s">
        <v>541</v>
      </c>
      <c r="C32" s="19">
        <v>11</v>
      </c>
      <c r="D32" s="19" t="s">
        <v>39</v>
      </c>
      <c r="E32" s="19" t="s">
        <v>39</v>
      </c>
      <c r="F32" s="19" t="s">
        <v>543</v>
      </c>
      <c r="H32" s="136" t="s">
        <v>537</v>
      </c>
      <c r="Q32" s="169" t="s">
        <v>843</v>
      </c>
    </row>
    <row r="33" spans="2:8" ht="33.950000000000003" customHeight="1">
      <c r="B33" s="19" t="s">
        <v>541</v>
      </c>
      <c r="C33" s="19">
        <v>12</v>
      </c>
      <c r="D33" s="19" t="s">
        <v>39</v>
      </c>
      <c r="E33" s="19" t="s">
        <v>39</v>
      </c>
      <c r="F33" s="19" t="s">
        <v>544</v>
      </c>
      <c r="H33" s="136" t="s">
        <v>537</v>
      </c>
    </row>
    <row r="35" spans="2:8" ht="17.100000000000001" customHeight="1">
      <c r="B35" s="146" t="s">
        <v>844</v>
      </c>
    </row>
    <row r="36" spans="2:8">
      <c r="B36" s="147">
        <v>1</v>
      </c>
      <c r="C36" s="147" t="s">
        <v>845</v>
      </c>
    </row>
    <row r="37" spans="2:8">
      <c r="B37" s="148">
        <v>2</v>
      </c>
      <c r="C37" s="148" t="s">
        <v>846</v>
      </c>
    </row>
    <row r="38" spans="2:8">
      <c r="B38" s="148">
        <v>3</v>
      </c>
      <c r="C38" s="148" t="s">
        <v>847</v>
      </c>
    </row>
    <row r="39" spans="2:8">
      <c r="B39" s="148">
        <v>4</v>
      </c>
      <c r="C39" s="148" t="s">
        <v>848</v>
      </c>
    </row>
    <row r="40" spans="2:8" ht="17.100000000000001" customHeight="1">
      <c r="B40" s="146" t="s">
        <v>849</v>
      </c>
    </row>
    <row r="41" spans="2:8">
      <c r="B41" s="147">
        <v>1</v>
      </c>
      <c r="C41" s="148" t="s">
        <v>850</v>
      </c>
    </row>
    <row r="42" spans="2:8">
      <c r="B42" s="147"/>
      <c r="C42" s="148" t="s">
        <v>851</v>
      </c>
    </row>
    <row r="43" spans="2:8">
      <c r="B43" s="147">
        <v>2</v>
      </c>
      <c r="C43" s="147" t="s">
        <v>852</v>
      </c>
    </row>
    <row r="44" spans="2:8">
      <c r="B44" s="147">
        <v>3</v>
      </c>
      <c r="C44" s="147" t="s">
        <v>853</v>
      </c>
    </row>
    <row r="45" spans="2:8">
      <c r="B45" s="147">
        <v>4</v>
      </c>
      <c r="C45" s="147" t="s">
        <v>854</v>
      </c>
    </row>
    <row r="46" spans="2:8">
      <c r="B46" s="147">
        <v>5</v>
      </c>
      <c r="C46" s="148" t="s">
        <v>855</v>
      </c>
    </row>
    <row r="47" spans="2:8" ht="17.100000000000001" customHeight="1">
      <c r="B47" s="146" t="s">
        <v>856</v>
      </c>
    </row>
    <row r="48" spans="2:8">
      <c r="B48" s="147">
        <v>1</v>
      </c>
      <c r="C48" s="147" t="s">
        <v>857</v>
      </c>
    </row>
    <row r="49" spans="2:3">
      <c r="B49" s="147">
        <v>2</v>
      </c>
      <c r="C49" s="147" t="s">
        <v>858</v>
      </c>
    </row>
    <row r="50" spans="2:3">
      <c r="B50" s="147">
        <v>3</v>
      </c>
      <c r="C50" s="147" t="s">
        <v>859</v>
      </c>
    </row>
    <row r="51" spans="2:3">
      <c r="B51" s="147" t="s">
        <v>860</v>
      </c>
    </row>
    <row r="52" spans="2:3">
      <c r="B52" s="148" t="s">
        <v>861</v>
      </c>
    </row>
  </sheetData>
  <autoFilter ref="A1:P33" xr:uid="{00000000-0009-0000-0000-00000E000000}">
    <filterColumn colId="3">
      <filters>
        <filter val="Yes"/>
      </filters>
    </filterColumn>
    <filterColumn colId="4">
      <filters>
        <filter val="Yes"/>
      </filters>
    </filterColumn>
  </autoFilter>
  <hyperlinks>
    <hyperlink ref="L2" r:id="rId1" location="!/view?docid=aa12cac0-21e7-4b9b-bbec-281ab997d694" display="https://thesource.cvshealth.com/nuxeo/thesource/#!/view?docid=aa12cac0-21e7-4b9b-bbec-281ab997d694" xr:uid="{00000000-0004-0000-0E00-000000000000}"/>
    <hyperlink ref="L4" r:id="rId2" location="!/view?docid=f3d54724-6ec1-48a8-929d-c7342b4c250d" display="https://thesource.cvshealth.com/nuxeo/thesource/#!/view?docid=f3d54724-6ec1-48a8-929d-c7342b4c250d" xr:uid="{00000000-0004-0000-0E00-000001000000}"/>
    <hyperlink ref="L7" r:id="rId3" location="!/view?docid=079e1abe-708c-4c91-8fc8-965a1c55edae" xr:uid="{00000000-0004-0000-0E00-000002000000}"/>
    <hyperlink ref="L8" r:id="rId4" location="!/view?docid=4549798d-e4c5-4bd6-bd3b-3a04d2c33577" xr:uid="{00000000-0004-0000-0E00-000003000000}"/>
    <hyperlink ref="L10" r:id="rId5" location="!/view?docid=44073e92-046d-4352-b233-85013d662930" xr:uid="{00000000-0004-0000-0E00-000004000000}"/>
    <hyperlink ref="L13" r:id="rId6" location="!/view?docid=85d1903e-7d99-466f-982e-2fd1ce2c38e6" display="https://thesource.cvshealth.com/nuxeo/thesource/#!/view?docid=85d1903e-7d99-466f-982e-2fd1ce2c38e6" xr:uid="{00000000-0004-0000-0E00-000005000000}"/>
    <hyperlink ref="K16" r:id="rId7" location="!/view?docid=44073e92-046d-4352-b233-85013d662930" xr:uid="{00000000-0004-0000-0E00-000006000000}"/>
    <hyperlink ref="L23" r:id="rId8" location="!/view?docid=e281d3f4-4b20-4c72-ae45-cf586fe10b74" xr:uid="{00000000-0004-0000-0E00-000007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filterMode="1"/>
  <dimension ref="A1:P53"/>
  <sheetViews>
    <sheetView topLeftCell="B1" workbookViewId="0">
      <selection activeCell="N1" sqref="N1:P1"/>
    </sheetView>
  </sheetViews>
  <sheetFormatPr defaultColWidth="11" defaultRowHeight="15.95"/>
  <cols>
    <col min="1" max="1" width="11" style="19" customWidth="1"/>
    <col min="2" max="2" width="18.625" style="19" customWidth="1"/>
    <col min="3" max="3" width="25.5" style="19" customWidth="1"/>
    <col min="4" max="5" width="13.125" style="19" customWidth="1"/>
    <col min="6" max="6" width="46.875" style="19" customWidth="1"/>
    <col min="7" max="7" width="47.5" style="19" customWidth="1"/>
    <col min="8" max="11" width="13.5" style="19" customWidth="1"/>
    <col min="12" max="12" width="13.5" style="20" customWidth="1"/>
    <col min="13" max="16" width="13.5" style="19" customWidth="1"/>
    <col min="17" max="18" width="11" style="19" customWidth="1"/>
    <col min="19" max="16384" width="11" style="19"/>
  </cols>
  <sheetData>
    <row r="1" spans="1:16" s="17" customFormat="1" ht="68.099999999999994" customHeight="1">
      <c r="A1" s="18" t="s">
        <v>22</v>
      </c>
      <c r="B1" s="18" t="s">
        <v>23</v>
      </c>
      <c r="C1" s="18" t="s">
        <v>486</v>
      </c>
      <c r="D1" s="18" t="s">
        <v>723</v>
      </c>
      <c r="E1" s="18" t="s">
        <v>793</v>
      </c>
      <c r="F1" s="18" t="s">
        <v>487</v>
      </c>
      <c r="G1" s="18" t="s">
        <v>488</v>
      </c>
      <c r="H1" s="18" t="s">
        <v>489</v>
      </c>
      <c r="I1" s="18" t="s">
        <v>320</v>
      </c>
      <c r="J1" s="18" t="s">
        <v>490</v>
      </c>
      <c r="K1" s="18" t="s">
        <v>491</v>
      </c>
      <c r="L1" s="10" t="s">
        <v>492</v>
      </c>
      <c r="M1" s="18" t="s">
        <v>493</v>
      </c>
      <c r="N1" s="18" t="s">
        <v>494</v>
      </c>
      <c r="O1" s="18" t="s">
        <v>495</v>
      </c>
      <c r="P1" s="18" t="s">
        <v>496</v>
      </c>
    </row>
    <row r="2" spans="1:16" ht="33.950000000000003" customHeight="1">
      <c r="B2" s="149" t="s">
        <v>507</v>
      </c>
      <c r="C2" s="19">
        <v>1</v>
      </c>
      <c r="D2" s="19" t="s">
        <v>39</v>
      </c>
      <c r="E2" s="19" t="s">
        <v>39</v>
      </c>
      <c r="F2" s="19" t="s">
        <v>508</v>
      </c>
      <c r="H2" s="19" t="s">
        <v>509</v>
      </c>
      <c r="L2" s="21" t="s">
        <v>510</v>
      </c>
      <c r="N2" s="19" t="s">
        <v>731</v>
      </c>
      <c r="P2" s="19" t="s">
        <v>731</v>
      </c>
    </row>
    <row r="3" spans="1:16" ht="33.950000000000003" customHeight="1">
      <c r="B3" s="149" t="s">
        <v>794</v>
      </c>
      <c r="C3" s="19">
        <v>2</v>
      </c>
      <c r="D3" s="19" t="s">
        <v>39</v>
      </c>
      <c r="E3" s="19" t="s">
        <v>39</v>
      </c>
      <c r="F3" s="19" t="s">
        <v>511</v>
      </c>
      <c r="H3" s="19" t="s">
        <v>512</v>
      </c>
      <c r="P3" s="19" t="s">
        <v>731</v>
      </c>
    </row>
    <row r="4" spans="1:16" ht="33.950000000000003" customHeight="1">
      <c r="B4" s="149" t="s">
        <v>513</v>
      </c>
      <c r="C4" s="19">
        <v>3</v>
      </c>
      <c r="D4" s="19" t="s">
        <v>39</v>
      </c>
      <c r="E4" s="19" t="s">
        <v>39</v>
      </c>
      <c r="F4" s="19" t="s">
        <v>514</v>
      </c>
      <c r="G4" s="22" t="s">
        <v>515</v>
      </c>
      <c r="H4" s="19" t="s">
        <v>509</v>
      </c>
      <c r="L4" s="21" t="s">
        <v>516</v>
      </c>
      <c r="P4" s="19" t="s">
        <v>731</v>
      </c>
    </row>
    <row r="5" spans="1:16" ht="84.95" customHeight="1">
      <c r="B5" s="149" t="s">
        <v>517</v>
      </c>
      <c r="C5" s="19">
        <v>4</v>
      </c>
      <c r="D5" s="19" t="s">
        <v>39</v>
      </c>
      <c r="E5" s="19" t="s">
        <v>39</v>
      </c>
      <c r="F5" s="19" t="s">
        <v>518</v>
      </c>
      <c r="G5" s="19" t="s">
        <v>519</v>
      </c>
      <c r="H5" s="19" t="s">
        <v>509</v>
      </c>
      <c r="N5" s="19" t="s">
        <v>731</v>
      </c>
      <c r="P5" s="19" t="s">
        <v>731</v>
      </c>
    </row>
    <row r="6" spans="1:16" ht="33.950000000000003" hidden="1" customHeight="1">
      <c r="B6" s="19" t="s">
        <v>517</v>
      </c>
      <c r="C6" s="19" t="s">
        <v>795</v>
      </c>
      <c r="E6" s="19" t="s">
        <v>39</v>
      </c>
      <c r="G6" s="19" t="s">
        <v>796</v>
      </c>
    </row>
    <row r="7" spans="1:16" ht="68.099999999999994" hidden="1" customHeight="1">
      <c r="B7" s="19" t="s">
        <v>517</v>
      </c>
      <c r="C7" s="19" t="s">
        <v>797</v>
      </c>
      <c r="G7" s="22" t="s">
        <v>798</v>
      </c>
      <c r="L7" s="21" t="s">
        <v>799</v>
      </c>
    </row>
    <row r="8" spans="1:16" ht="153" hidden="1" customHeight="1">
      <c r="B8" s="19" t="s">
        <v>517</v>
      </c>
      <c r="C8" s="19" t="s">
        <v>800</v>
      </c>
      <c r="G8" s="22" t="s">
        <v>801</v>
      </c>
      <c r="L8" s="21" t="s">
        <v>802</v>
      </c>
    </row>
    <row r="9" spans="1:16" ht="153" hidden="1" customHeight="1">
      <c r="B9" s="19" t="s">
        <v>517</v>
      </c>
      <c r="C9" s="19" t="s">
        <v>803</v>
      </c>
      <c r="G9" s="22" t="s">
        <v>804</v>
      </c>
    </row>
    <row r="10" spans="1:16" ht="170.1" hidden="1" customHeight="1">
      <c r="B10" s="19" t="s">
        <v>517</v>
      </c>
      <c r="C10" s="19" t="s">
        <v>805</v>
      </c>
      <c r="E10" s="19" t="s">
        <v>39</v>
      </c>
      <c r="G10" s="22" t="s">
        <v>806</v>
      </c>
      <c r="L10" s="21" t="s">
        <v>807</v>
      </c>
    </row>
    <row r="11" spans="1:16" ht="51" customHeight="1">
      <c r="B11" s="149" t="s">
        <v>520</v>
      </c>
      <c r="C11" s="19">
        <v>5</v>
      </c>
      <c r="D11" s="19" t="s">
        <v>39</v>
      </c>
      <c r="E11" s="19" t="s">
        <v>39</v>
      </c>
      <c r="F11" s="19" t="s">
        <v>521</v>
      </c>
      <c r="G11" s="19" t="s">
        <v>522</v>
      </c>
      <c r="H11" s="19" t="s">
        <v>512</v>
      </c>
    </row>
    <row r="12" spans="1:16" ht="33.950000000000003" hidden="1" customHeight="1">
      <c r="B12" s="19" t="s">
        <v>520</v>
      </c>
      <c r="C12" s="19" t="s">
        <v>808</v>
      </c>
      <c r="G12" s="19" t="s">
        <v>809</v>
      </c>
    </row>
    <row r="13" spans="1:16" ht="153" hidden="1" customHeight="1">
      <c r="B13" s="19" t="s">
        <v>520</v>
      </c>
      <c r="C13" s="19" t="s">
        <v>810</v>
      </c>
      <c r="G13" s="22" t="s">
        <v>811</v>
      </c>
      <c r="L13" s="21" t="s">
        <v>812</v>
      </c>
    </row>
    <row r="14" spans="1:16" ht="33.950000000000003" hidden="1" customHeight="1">
      <c r="B14" s="19" t="s">
        <v>520</v>
      </c>
      <c r="C14" s="19" t="s">
        <v>813</v>
      </c>
      <c r="G14" s="22" t="s">
        <v>814</v>
      </c>
    </row>
    <row r="15" spans="1:16" ht="33.950000000000003" hidden="1" customHeight="1">
      <c r="B15" s="19" t="s">
        <v>520</v>
      </c>
      <c r="C15" s="19" t="s">
        <v>815</v>
      </c>
      <c r="G15" s="22" t="s">
        <v>816</v>
      </c>
    </row>
    <row r="16" spans="1:16" ht="221.1" hidden="1" customHeight="1">
      <c r="B16" s="19" t="s">
        <v>520</v>
      </c>
      <c r="C16" s="19" t="s">
        <v>817</v>
      </c>
      <c r="E16" s="19" t="s">
        <v>39</v>
      </c>
      <c r="G16" s="22" t="s">
        <v>818</v>
      </c>
      <c r="K16" s="134" t="s">
        <v>807</v>
      </c>
    </row>
    <row r="17" spans="2:12" ht="33.950000000000003" customHeight="1">
      <c r="B17" s="149" t="s">
        <v>523</v>
      </c>
      <c r="C17" s="19">
        <v>6</v>
      </c>
      <c r="D17" s="19" t="s">
        <v>39</v>
      </c>
      <c r="E17" s="19" t="s">
        <v>39</v>
      </c>
      <c r="F17" s="137" t="s">
        <v>524</v>
      </c>
      <c r="G17" s="19" t="s">
        <v>525</v>
      </c>
      <c r="H17" s="137" t="s">
        <v>526</v>
      </c>
    </row>
    <row r="18" spans="2:12" ht="33.950000000000003" hidden="1" customHeight="1">
      <c r="B18" s="19" t="s">
        <v>523</v>
      </c>
      <c r="C18" s="19" t="s">
        <v>819</v>
      </c>
      <c r="G18" s="22" t="s">
        <v>820</v>
      </c>
    </row>
    <row r="19" spans="2:12" ht="33.950000000000003" hidden="1" customHeight="1">
      <c r="B19" s="19" t="s">
        <v>523</v>
      </c>
      <c r="C19" s="19" t="s">
        <v>821</v>
      </c>
      <c r="G19" s="22" t="s">
        <v>822</v>
      </c>
    </row>
    <row r="20" spans="2:12" ht="33.950000000000003" hidden="1" customHeight="1">
      <c r="B20" s="19" t="s">
        <v>523</v>
      </c>
      <c r="C20" s="19" t="s">
        <v>823</v>
      </c>
      <c r="G20" s="22" t="s">
        <v>824</v>
      </c>
    </row>
    <row r="21" spans="2:12" ht="51" hidden="1" customHeight="1">
      <c r="B21" s="19" t="s">
        <v>523</v>
      </c>
      <c r="C21" s="19" t="s">
        <v>825</v>
      </c>
      <c r="E21" s="19" t="s">
        <v>39</v>
      </c>
      <c r="G21" s="22" t="s">
        <v>826</v>
      </c>
    </row>
    <row r="22" spans="2:12" ht="33.950000000000003" hidden="1" customHeight="1">
      <c r="B22" s="19" t="s">
        <v>523</v>
      </c>
      <c r="C22" s="19" t="s">
        <v>827</v>
      </c>
      <c r="G22" s="19" t="s">
        <v>828</v>
      </c>
    </row>
    <row r="23" spans="2:12" ht="33.950000000000003" customHeight="1">
      <c r="B23" s="135" t="s">
        <v>527</v>
      </c>
      <c r="C23" s="19">
        <v>7</v>
      </c>
      <c r="D23" s="19" t="s">
        <v>39</v>
      </c>
      <c r="E23" s="19" t="s">
        <v>39</v>
      </c>
      <c r="F23" s="138" t="s">
        <v>528</v>
      </c>
      <c r="L23" s="21" t="s">
        <v>529</v>
      </c>
    </row>
    <row r="24" spans="2:12" ht="356.1" hidden="1" customHeight="1">
      <c r="B24" s="135" t="s">
        <v>527</v>
      </c>
      <c r="C24" s="23" t="s">
        <v>829</v>
      </c>
      <c r="D24" s="19" t="s">
        <v>39</v>
      </c>
      <c r="F24" s="19" t="s">
        <v>830</v>
      </c>
      <c r="G24" s="19" t="s">
        <v>831</v>
      </c>
    </row>
    <row r="25" spans="2:12" ht="102" hidden="1" customHeight="1">
      <c r="B25" s="135" t="s">
        <v>527</v>
      </c>
      <c r="C25" s="23" t="s">
        <v>832</v>
      </c>
      <c r="D25" s="19" t="s">
        <v>39</v>
      </c>
      <c r="F25" s="19" t="s">
        <v>833</v>
      </c>
      <c r="G25" s="19" t="s">
        <v>834</v>
      </c>
    </row>
    <row r="26" spans="2:12" ht="33.950000000000003" customHeight="1">
      <c r="B26" s="135" t="s">
        <v>527</v>
      </c>
      <c r="C26" s="23" t="s">
        <v>530</v>
      </c>
      <c r="D26" s="19" t="s">
        <v>39</v>
      </c>
      <c r="E26" s="19" t="s">
        <v>39</v>
      </c>
      <c r="F26" s="19" t="s">
        <v>531</v>
      </c>
      <c r="G26" s="136" t="s">
        <v>532</v>
      </c>
      <c r="H26" s="19" t="s">
        <v>533</v>
      </c>
    </row>
    <row r="27" spans="2:12" ht="306" hidden="1" customHeight="1">
      <c r="B27" s="135" t="s">
        <v>527</v>
      </c>
      <c r="C27" s="23" t="s">
        <v>835</v>
      </c>
      <c r="D27" s="19" t="s">
        <v>39</v>
      </c>
      <c r="F27" s="19" t="s">
        <v>577</v>
      </c>
      <c r="G27" s="19" t="s">
        <v>836</v>
      </c>
    </row>
    <row r="28" spans="2:12" ht="404.1" hidden="1" customHeight="1">
      <c r="B28" s="135" t="s">
        <v>527</v>
      </c>
      <c r="C28" s="23" t="s">
        <v>837</v>
      </c>
      <c r="D28" s="19" t="s">
        <v>39</v>
      </c>
      <c r="F28" s="19" t="s">
        <v>838</v>
      </c>
      <c r="G28" s="19" t="s">
        <v>839</v>
      </c>
    </row>
    <row r="29" spans="2:12" ht="68.099999999999994" customHeight="1">
      <c r="B29" s="19" t="s">
        <v>534</v>
      </c>
      <c r="C29" s="19">
        <v>8</v>
      </c>
      <c r="D29" s="19" t="s">
        <v>39</v>
      </c>
      <c r="E29" s="19" t="s">
        <v>39</v>
      </c>
      <c r="F29" s="19" t="s">
        <v>535</v>
      </c>
      <c r="G29" s="22" t="s">
        <v>536</v>
      </c>
      <c r="H29" s="136" t="s">
        <v>537</v>
      </c>
    </row>
    <row r="30" spans="2:12" ht="409.5" hidden="1" customHeight="1">
      <c r="B30" s="19" t="s">
        <v>534</v>
      </c>
      <c r="C30" s="23" t="s">
        <v>841</v>
      </c>
      <c r="E30" s="19" t="s">
        <v>39</v>
      </c>
      <c r="G30" s="19" t="s">
        <v>842</v>
      </c>
    </row>
    <row r="31" spans="2:12" ht="51" customHeight="1">
      <c r="B31" s="19" t="s">
        <v>538</v>
      </c>
      <c r="C31" s="19">
        <v>9</v>
      </c>
      <c r="D31" s="19" t="s">
        <v>39</v>
      </c>
      <c r="E31" s="19" t="s">
        <v>39</v>
      </c>
      <c r="F31" s="19" t="s">
        <v>539</v>
      </c>
      <c r="G31" s="19" t="s">
        <v>540</v>
      </c>
      <c r="H31" s="136" t="s">
        <v>537</v>
      </c>
    </row>
    <row r="32" spans="2:12" ht="33.950000000000003" customHeight="1">
      <c r="B32" s="19" t="s">
        <v>541</v>
      </c>
      <c r="C32" s="19">
        <v>10</v>
      </c>
      <c r="D32" s="19" t="s">
        <v>39</v>
      </c>
      <c r="E32" s="19" t="s">
        <v>39</v>
      </c>
      <c r="F32" s="19" t="s">
        <v>542</v>
      </c>
      <c r="H32" s="136" t="s">
        <v>537</v>
      </c>
    </row>
    <row r="33" spans="2:8" ht="33.950000000000003" customHeight="1">
      <c r="B33" s="19" t="s">
        <v>541</v>
      </c>
      <c r="C33" s="19">
        <v>11</v>
      </c>
      <c r="D33" s="19" t="s">
        <v>39</v>
      </c>
      <c r="E33" s="19" t="s">
        <v>39</v>
      </c>
      <c r="F33" s="19" t="s">
        <v>543</v>
      </c>
      <c r="H33" s="136" t="s">
        <v>537</v>
      </c>
    </row>
    <row r="34" spans="2:8" ht="33.950000000000003" customHeight="1">
      <c r="B34" s="19" t="s">
        <v>541</v>
      </c>
      <c r="C34" s="19">
        <v>12</v>
      </c>
      <c r="D34" s="19" t="s">
        <v>39</v>
      </c>
      <c r="E34" s="19" t="s">
        <v>39</v>
      </c>
      <c r="F34" s="19" t="s">
        <v>544</v>
      </c>
      <c r="H34" s="136" t="s">
        <v>537</v>
      </c>
    </row>
    <row r="36" spans="2:8" ht="17.100000000000001" customHeight="1">
      <c r="B36" s="146" t="s">
        <v>844</v>
      </c>
    </row>
    <row r="37" spans="2:8">
      <c r="B37" s="147">
        <v>1</v>
      </c>
      <c r="C37" s="147" t="s">
        <v>845</v>
      </c>
    </row>
    <row r="38" spans="2:8">
      <c r="B38" s="148">
        <v>2</v>
      </c>
      <c r="C38" s="148" t="s">
        <v>846</v>
      </c>
    </row>
    <row r="39" spans="2:8">
      <c r="B39" s="148">
        <v>3</v>
      </c>
      <c r="C39" s="148" t="s">
        <v>847</v>
      </c>
    </row>
    <row r="40" spans="2:8">
      <c r="B40" s="148">
        <v>4</v>
      </c>
      <c r="C40" s="148" t="s">
        <v>848</v>
      </c>
    </row>
    <row r="41" spans="2:8" ht="17.100000000000001" customHeight="1">
      <c r="B41" s="146" t="s">
        <v>849</v>
      </c>
    </row>
    <row r="42" spans="2:8">
      <c r="B42" s="147">
        <v>1</v>
      </c>
      <c r="C42" s="148" t="s">
        <v>850</v>
      </c>
    </row>
    <row r="43" spans="2:8">
      <c r="B43" s="147"/>
      <c r="C43" s="148" t="s">
        <v>851</v>
      </c>
    </row>
    <row r="44" spans="2:8">
      <c r="B44" s="147">
        <v>2</v>
      </c>
      <c r="C44" s="147" t="s">
        <v>852</v>
      </c>
    </row>
    <row r="45" spans="2:8">
      <c r="B45" s="147">
        <v>3</v>
      </c>
      <c r="C45" s="147" t="s">
        <v>853</v>
      </c>
    </row>
    <row r="46" spans="2:8">
      <c r="B46" s="147">
        <v>4</v>
      </c>
      <c r="C46" s="147" t="s">
        <v>854</v>
      </c>
    </row>
    <row r="47" spans="2:8">
      <c r="B47" s="147">
        <v>5</v>
      </c>
      <c r="C47" s="148" t="s">
        <v>855</v>
      </c>
    </row>
    <row r="48" spans="2:8" ht="17.100000000000001" customHeight="1">
      <c r="B48" s="146" t="s">
        <v>856</v>
      </c>
    </row>
    <row r="49" spans="2:3">
      <c r="B49" s="147">
        <v>1</v>
      </c>
      <c r="C49" s="147" t="s">
        <v>857</v>
      </c>
    </row>
    <row r="50" spans="2:3">
      <c r="B50" s="147">
        <v>2</v>
      </c>
      <c r="C50" s="147" t="s">
        <v>858</v>
      </c>
    </row>
    <row r="51" spans="2:3">
      <c r="B51" s="147">
        <v>3</v>
      </c>
      <c r="C51" s="147" t="s">
        <v>859</v>
      </c>
    </row>
    <row r="52" spans="2:3">
      <c r="B52" s="147" t="s">
        <v>860</v>
      </c>
    </row>
    <row r="53" spans="2:3">
      <c r="B53" s="148" t="s">
        <v>861</v>
      </c>
    </row>
  </sheetData>
  <autoFilter ref="A1:P34" xr:uid="{00000000-0009-0000-0000-00000F000000}">
    <filterColumn colId="3">
      <filters>
        <filter val="Yes"/>
      </filters>
    </filterColumn>
    <filterColumn colId="4">
      <filters>
        <filter val="Yes"/>
      </filters>
    </filterColumn>
  </autoFilter>
  <hyperlinks>
    <hyperlink ref="L2" r:id="rId1" location="!/view?docid=aa12cac0-21e7-4b9b-bbec-281ab997d694" display="https://thesource.cvshealth.com/nuxeo/thesource/#!/view?docid=aa12cac0-21e7-4b9b-bbec-281ab997d694" xr:uid="{00000000-0004-0000-0F00-000000000000}"/>
    <hyperlink ref="L4" r:id="rId2" location="!/view?docid=f3d54724-6ec1-48a8-929d-c7342b4c250d" display="https://thesource.cvshealth.com/nuxeo/thesource/#!/view?docid=f3d54724-6ec1-48a8-929d-c7342b4c250d" xr:uid="{00000000-0004-0000-0F00-000001000000}"/>
    <hyperlink ref="L7" r:id="rId3" location="!/view?docid=079e1abe-708c-4c91-8fc8-965a1c55edae" xr:uid="{00000000-0004-0000-0F00-000002000000}"/>
    <hyperlink ref="L8" r:id="rId4" location="!/view?docid=4549798d-e4c5-4bd6-bd3b-3a04d2c33577" xr:uid="{00000000-0004-0000-0F00-000003000000}"/>
    <hyperlink ref="L10" r:id="rId5" location="!/view?docid=44073e92-046d-4352-b233-85013d662930" xr:uid="{00000000-0004-0000-0F00-000004000000}"/>
    <hyperlink ref="L13" r:id="rId6" location="!/view?docid=85d1903e-7d99-466f-982e-2fd1ce2c38e6" display="https://thesource.cvshealth.com/nuxeo/thesource/#!/view?docid=85d1903e-7d99-466f-982e-2fd1ce2c38e6" xr:uid="{00000000-0004-0000-0F00-000005000000}"/>
    <hyperlink ref="K16" r:id="rId7" location="!/view?docid=44073e92-046d-4352-b233-85013d662930" xr:uid="{00000000-0004-0000-0F00-000006000000}"/>
    <hyperlink ref="L23" r:id="rId8" location="!/view?docid=e281d3f4-4b20-4c72-ae45-cf586fe10b74" xr:uid="{00000000-0004-0000-0F00-000007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4"/>
  <sheetViews>
    <sheetView showGridLines="0" workbookViewId="0">
      <selection activeCell="D7" sqref="D7"/>
    </sheetView>
  </sheetViews>
  <sheetFormatPr defaultColWidth="8.875" defaultRowHeight="15.95"/>
  <cols>
    <col min="1" max="1" width="5" customWidth="1"/>
    <col min="2" max="2" width="18" customWidth="1"/>
    <col min="3" max="3" width="26" customWidth="1"/>
    <col min="4" max="4" width="46" customWidth="1"/>
    <col min="5" max="5" width="70" customWidth="1"/>
    <col min="6" max="6" width="22" customWidth="1"/>
    <col min="7" max="7" width="15" customWidth="1"/>
    <col min="8" max="8" width="11" customWidth="1"/>
    <col min="9" max="9" width="34" customWidth="1"/>
  </cols>
  <sheetData>
    <row r="1" spans="1:9" s="199" customFormat="1" ht="18.95" customHeight="1">
      <c r="A1" s="198" t="s">
        <v>862</v>
      </c>
    </row>
    <row r="2" spans="1:9" ht="48" customHeight="1">
      <c r="A2" s="214" t="s">
        <v>863</v>
      </c>
      <c r="B2" s="220"/>
      <c r="C2" s="220"/>
      <c r="D2" s="220"/>
      <c r="E2" s="220"/>
      <c r="F2" s="220"/>
      <c r="G2" s="220"/>
      <c r="H2" s="220"/>
      <c r="I2" s="220"/>
    </row>
    <row r="4" spans="1:9" s="200" customFormat="1" ht="33.950000000000003" customHeight="1">
      <c r="A4" s="221" t="s">
        <v>22</v>
      </c>
      <c r="B4" s="221" t="s">
        <v>23</v>
      </c>
      <c r="C4" s="221" t="s">
        <v>486</v>
      </c>
      <c r="D4" s="221" t="s">
        <v>487</v>
      </c>
      <c r="E4" s="221" t="s">
        <v>488</v>
      </c>
      <c r="F4" s="221" t="s">
        <v>489</v>
      </c>
      <c r="G4" s="221" t="s">
        <v>864</v>
      </c>
      <c r="H4" s="221" t="s">
        <v>865</v>
      </c>
      <c r="I4" s="221" t="s">
        <v>866</v>
      </c>
    </row>
    <row r="5" spans="1:9" ht="77.45" customHeight="1">
      <c r="A5" s="183" t="s">
        <v>34</v>
      </c>
      <c r="B5" s="184" t="s">
        <v>867</v>
      </c>
      <c r="C5" s="183" t="s">
        <v>868</v>
      </c>
      <c r="D5" s="183" t="s">
        <v>869</v>
      </c>
      <c r="E5" s="183" t="s">
        <v>870</v>
      </c>
      <c r="F5" s="183" t="s">
        <v>871</v>
      </c>
      <c r="G5" s="183" t="s">
        <v>872</v>
      </c>
      <c r="H5" s="183" t="s">
        <v>34</v>
      </c>
      <c r="I5" s="183" t="s">
        <v>873</v>
      </c>
    </row>
    <row r="6" spans="1:9" ht="62.1" customHeight="1">
      <c r="A6" s="183" t="s">
        <v>45</v>
      </c>
      <c r="B6" s="184" t="s">
        <v>867</v>
      </c>
      <c r="C6" s="183" t="s">
        <v>874</v>
      </c>
      <c r="D6" s="183" t="s">
        <v>875</v>
      </c>
      <c r="E6" s="183" t="s">
        <v>876</v>
      </c>
      <c r="F6" s="183" t="s">
        <v>877</v>
      </c>
      <c r="G6" s="183" t="s">
        <v>872</v>
      </c>
      <c r="H6" s="183" t="s">
        <v>45</v>
      </c>
      <c r="I6" s="183" t="s">
        <v>878</v>
      </c>
    </row>
    <row r="7" spans="1:9" ht="62.1" customHeight="1">
      <c r="A7" s="183" t="s">
        <v>56</v>
      </c>
      <c r="B7" s="184" t="s">
        <v>867</v>
      </c>
      <c r="C7" s="183" t="s">
        <v>879</v>
      </c>
      <c r="D7" s="183" t="s">
        <v>880</v>
      </c>
      <c r="E7" s="183" t="s">
        <v>881</v>
      </c>
      <c r="F7" s="183" t="s">
        <v>509</v>
      </c>
      <c r="G7" s="183" t="s">
        <v>872</v>
      </c>
      <c r="H7" s="183" t="s">
        <v>56</v>
      </c>
      <c r="I7" s="183"/>
    </row>
    <row r="8" spans="1:9" ht="123.95" customHeight="1">
      <c r="A8" s="183" t="s">
        <v>66</v>
      </c>
      <c r="B8" s="184" t="s">
        <v>882</v>
      </c>
      <c r="C8" s="183" t="s">
        <v>883</v>
      </c>
      <c r="D8" s="183" t="s">
        <v>884</v>
      </c>
      <c r="E8" s="183" t="s">
        <v>885</v>
      </c>
      <c r="F8" s="183" t="s">
        <v>886</v>
      </c>
      <c r="G8" s="183" t="s">
        <v>872</v>
      </c>
      <c r="H8" s="183" t="s">
        <v>66</v>
      </c>
      <c r="I8" s="183" t="s">
        <v>887</v>
      </c>
    </row>
    <row r="9" spans="1:9" ht="123.95" customHeight="1">
      <c r="A9" s="183" t="s">
        <v>76</v>
      </c>
      <c r="B9" s="184" t="s">
        <v>882</v>
      </c>
      <c r="C9" s="183" t="s">
        <v>888</v>
      </c>
      <c r="D9" s="183" t="s">
        <v>889</v>
      </c>
      <c r="E9" s="183" t="s">
        <v>890</v>
      </c>
      <c r="F9" s="183" t="s">
        <v>891</v>
      </c>
      <c r="G9" s="183" t="s">
        <v>872</v>
      </c>
      <c r="H9" s="183" t="s">
        <v>76</v>
      </c>
      <c r="I9" s="183"/>
    </row>
    <row r="10" spans="1:9" ht="108.6" customHeight="1">
      <c r="A10" s="183" t="s">
        <v>87</v>
      </c>
      <c r="B10" s="184" t="s">
        <v>882</v>
      </c>
      <c r="C10" s="183" t="s">
        <v>892</v>
      </c>
      <c r="D10" s="183" t="s">
        <v>893</v>
      </c>
      <c r="E10" s="183" t="s">
        <v>894</v>
      </c>
      <c r="F10" s="183" t="s">
        <v>895</v>
      </c>
      <c r="G10" s="183" t="s">
        <v>872</v>
      </c>
      <c r="H10" s="183" t="s">
        <v>87</v>
      </c>
      <c r="I10" s="183"/>
    </row>
    <row r="11" spans="1:9" ht="108.6" customHeight="1">
      <c r="A11" s="183" t="s">
        <v>97</v>
      </c>
      <c r="B11" s="184" t="s">
        <v>896</v>
      </c>
      <c r="C11" s="183" t="s">
        <v>897</v>
      </c>
      <c r="D11" s="183" t="s">
        <v>898</v>
      </c>
      <c r="E11" s="183" t="s">
        <v>899</v>
      </c>
      <c r="F11" s="183" t="s">
        <v>900</v>
      </c>
      <c r="G11" s="183" t="s">
        <v>872</v>
      </c>
      <c r="H11" s="183" t="s">
        <v>97</v>
      </c>
      <c r="I11" s="183" t="s">
        <v>901</v>
      </c>
    </row>
    <row r="12" spans="1:9" ht="77.45" customHeight="1">
      <c r="A12" s="183" t="s">
        <v>107</v>
      </c>
      <c r="B12" s="184" t="s">
        <v>896</v>
      </c>
      <c r="C12" s="183" t="s">
        <v>902</v>
      </c>
      <c r="D12" s="183" t="s">
        <v>903</v>
      </c>
      <c r="E12" s="183" t="s">
        <v>904</v>
      </c>
      <c r="F12" s="183" t="s">
        <v>509</v>
      </c>
      <c r="G12" s="183" t="s">
        <v>872</v>
      </c>
      <c r="H12" s="183" t="s">
        <v>97</v>
      </c>
      <c r="I12" s="183" t="s">
        <v>905</v>
      </c>
    </row>
    <row r="13" spans="1:9" ht="93" customHeight="1">
      <c r="A13" s="183" t="s">
        <v>117</v>
      </c>
      <c r="B13" s="184" t="s">
        <v>906</v>
      </c>
      <c r="C13" s="183" t="s">
        <v>907</v>
      </c>
      <c r="D13" s="183" t="s">
        <v>908</v>
      </c>
      <c r="E13" s="183" t="s">
        <v>909</v>
      </c>
      <c r="F13" s="183" t="s">
        <v>712</v>
      </c>
      <c r="G13" s="183" t="s">
        <v>910</v>
      </c>
      <c r="H13" s="183" t="s">
        <v>107</v>
      </c>
      <c r="I13" s="183" t="s">
        <v>911</v>
      </c>
    </row>
    <row r="14" spans="1:9" ht="123.95" customHeight="1">
      <c r="A14" s="183" t="s">
        <v>127</v>
      </c>
      <c r="B14" s="184" t="s">
        <v>906</v>
      </c>
      <c r="C14" s="183" t="s">
        <v>912</v>
      </c>
      <c r="D14" s="183" t="s">
        <v>913</v>
      </c>
      <c r="E14" s="183" t="s">
        <v>914</v>
      </c>
      <c r="F14" s="183" t="s">
        <v>915</v>
      </c>
      <c r="G14" s="183" t="s">
        <v>872</v>
      </c>
      <c r="H14" s="183" t="s">
        <v>117</v>
      </c>
      <c r="I14" s="183" t="s">
        <v>916</v>
      </c>
    </row>
    <row r="15" spans="1:9" ht="30.95" customHeight="1">
      <c r="A15" s="183" t="s">
        <v>134</v>
      </c>
      <c r="B15" s="184" t="s">
        <v>906</v>
      </c>
      <c r="C15" s="183" t="s">
        <v>917</v>
      </c>
      <c r="D15" s="183" t="s">
        <v>918</v>
      </c>
      <c r="E15" s="183" t="s">
        <v>309</v>
      </c>
      <c r="F15" s="183" t="s">
        <v>509</v>
      </c>
      <c r="G15" s="183" t="s">
        <v>872</v>
      </c>
      <c r="H15" s="183" t="s">
        <v>127</v>
      </c>
      <c r="I15" s="183"/>
    </row>
    <row r="16" spans="1:9" ht="30.95" customHeight="1">
      <c r="A16" s="183" t="s">
        <v>142</v>
      </c>
      <c r="B16" s="184" t="s">
        <v>906</v>
      </c>
      <c r="C16" s="183" t="s">
        <v>919</v>
      </c>
      <c r="D16" s="183" t="s">
        <v>920</v>
      </c>
      <c r="E16" s="183" t="s">
        <v>309</v>
      </c>
      <c r="F16" s="183" t="s">
        <v>509</v>
      </c>
      <c r="G16" s="183" t="s">
        <v>872</v>
      </c>
      <c r="H16" s="183" t="s">
        <v>134</v>
      </c>
      <c r="I16" s="183"/>
    </row>
    <row r="17" spans="1:9" ht="62.1" customHeight="1">
      <c r="A17" s="183" t="s">
        <v>152</v>
      </c>
      <c r="B17" s="184" t="s">
        <v>201</v>
      </c>
      <c r="C17" s="183" t="s">
        <v>921</v>
      </c>
      <c r="D17" s="183" t="s">
        <v>922</v>
      </c>
      <c r="E17" s="183" t="s">
        <v>923</v>
      </c>
      <c r="F17" s="183" t="s">
        <v>509</v>
      </c>
      <c r="G17" s="183" t="s">
        <v>872</v>
      </c>
      <c r="H17" s="183" t="s">
        <v>142</v>
      </c>
      <c r="I17" s="183" t="s">
        <v>924</v>
      </c>
    </row>
    <row r="19" spans="1:9">
      <c r="A19" s="182" t="s">
        <v>925</v>
      </c>
    </row>
    <row r="20" spans="1:9" s="6" customFormat="1" ht="17.100000000000001" customHeight="1">
      <c r="A20" s="6" t="s">
        <v>22</v>
      </c>
      <c r="B20" s="6" t="s">
        <v>926</v>
      </c>
      <c r="C20" s="6" t="s">
        <v>927</v>
      </c>
      <c r="D20" s="6" t="s">
        <v>928</v>
      </c>
      <c r="I20" s="6" t="s">
        <v>929</v>
      </c>
    </row>
    <row r="21" spans="1:9" ht="123.95" customHeight="1">
      <c r="A21" s="183" t="s">
        <v>930</v>
      </c>
      <c r="B21" s="184" t="s">
        <v>931</v>
      </c>
      <c r="C21" s="183" t="s">
        <v>932</v>
      </c>
      <c r="D21" s="222" t="s">
        <v>933</v>
      </c>
      <c r="E21" s="223"/>
      <c r="F21" s="223"/>
      <c r="G21" s="223"/>
      <c r="H21" s="224"/>
      <c r="I21" s="183" t="s">
        <v>934</v>
      </c>
    </row>
    <row r="22" spans="1:9" ht="46.5" customHeight="1">
      <c r="A22" s="183" t="s">
        <v>935</v>
      </c>
      <c r="B22" s="184" t="s">
        <v>936</v>
      </c>
      <c r="C22" s="183" t="s">
        <v>937</v>
      </c>
      <c r="D22" s="222" t="s">
        <v>938</v>
      </c>
      <c r="E22" s="223"/>
      <c r="F22" s="223"/>
      <c r="G22" s="223"/>
      <c r="H22" s="224"/>
      <c r="I22" s="183" t="s">
        <v>939</v>
      </c>
    </row>
    <row r="23" spans="1:9" ht="18" customHeight="1">
      <c r="A23" s="183" t="s">
        <v>940</v>
      </c>
      <c r="B23" s="184" t="s">
        <v>941</v>
      </c>
      <c r="C23" s="183" t="s">
        <v>942</v>
      </c>
      <c r="D23" s="222" t="s">
        <v>943</v>
      </c>
      <c r="E23" s="223"/>
      <c r="F23" s="223"/>
      <c r="G23" s="223"/>
      <c r="H23" s="224"/>
      <c r="I23" s="183" t="s">
        <v>944</v>
      </c>
    </row>
    <row r="24" spans="1:9" ht="30.95" customHeight="1">
      <c r="A24" s="183" t="s">
        <v>945</v>
      </c>
      <c r="B24" s="184" t="s">
        <v>946</v>
      </c>
      <c r="C24" s="183" t="s">
        <v>947</v>
      </c>
      <c r="D24" s="222" t="s">
        <v>948</v>
      </c>
      <c r="E24" s="223"/>
      <c r="F24" s="223"/>
      <c r="G24" s="223"/>
      <c r="H24" s="224"/>
      <c r="I24" s="183" t="s">
        <v>944</v>
      </c>
    </row>
  </sheetData>
  <mergeCells count="5">
    <mergeCell ref="D21:H21"/>
    <mergeCell ref="A2:I2"/>
    <mergeCell ref="D24:H24"/>
    <mergeCell ref="D23:H23"/>
    <mergeCell ref="D22:H22"/>
  </mergeCells>
  <pageMargins left="0.75" right="0.75" top="1" bottom="1" header="0.5" footer="0.5"/>
  <ignoredErrors>
    <ignoredError sqref="H5:H17"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
  <sheetViews>
    <sheetView workbookViewId="0">
      <selection activeCell="I41" sqref="I41"/>
    </sheetView>
  </sheetViews>
  <sheetFormatPr defaultColWidth="11" defaultRowHeight="15.9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d121211-3815-444b-885e-1a9f0015e4f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E3A14CB0529D45B54855854E9E2AB1" ma:contentTypeVersion="15" ma:contentTypeDescription="Create a new document." ma:contentTypeScope="" ma:versionID="1386b1d408ba399cd853d3dac8dd9863">
  <xsd:schema xmlns:xsd="http://www.w3.org/2001/XMLSchema" xmlns:xs="http://www.w3.org/2001/XMLSchema" xmlns:p="http://schemas.microsoft.com/office/2006/metadata/properties" xmlns:ns2="0d121211-3815-444b-885e-1a9f0015e4f8" xmlns:ns3="e22bde0b-5c43-4cbb-89df-8a2f82e61b06" targetNamespace="http://schemas.microsoft.com/office/2006/metadata/properties" ma:root="true" ma:fieldsID="64f790869470bb3c47e672d00df20652" ns2:_="" ns3:_="">
    <xsd:import namespace="0d121211-3815-444b-885e-1a9f0015e4f8"/>
    <xsd:import namespace="e22bde0b-5c43-4cbb-89df-8a2f82e61b0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21211-3815-444b-885e-1a9f0015e4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773e5d3-86f4-436a-b35a-a9b626cf631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22bde0b-5c43-4cbb-89df-8a2f82e61b0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761FF4-1F18-4BF1-89D6-26F571683872}"/>
</file>

<file path=customXml/itemProps2.xml><?xml version="1.0" encoding="utf-8"?>
<ds:datastoreItem xmlns:ds="http://schemas.openxmlformats.org/officeDocument/2006/customXml" ds:itemID="{6AD59936-6616-4D1D-8C95-BC54DD1895EC}"/>
</file>

<file path=customXml/itemProps3.xml><?xml version="1.0" encoding="utf-8"?>
<ds:datastoreItem xmlns:ds="http://schemas.openxmlformats.org/officeDocument/2006/customXml" ds:itemID="{DEC908F1-C4D6-40BC-B734-E8326F9C21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Challa, Karthik</dc:creator>
  <cp:keywords/>
  <dc:description/>
  <cp:lastModifiedBy/>
  <cp:revision/>
  <dcterms:created xsi:type="dcterms:W3CDTF">2026-10-22T13:59:54Z</dcterms:created>
  <dcterms:modified xsi:type="dcterms:W3CDTF">2026-10-30T00:18:17Z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2026-10-22T14:07:12Z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8e8dbb7f-d517-4209-b48a-66b4d5da8198</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y fmtid="{D5CDD505-2E9C-101B-9397-08002B2CF9AE}" pid="10" name="MediaServiceImageTags">
    <vt:lpwstr/>
  </property>
  <property fmtid="{D5CDD505-2E9C-101B-9397-08002B2CF9AE}" pid="11" name="ContentTypeId">
    <vt:lpwstr>0x01010087E3A14CB0529D45B54855854E9E2AB1</vt:lpwstr>
  </property>
</Properties>
</file>